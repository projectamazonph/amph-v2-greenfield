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Keyword B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B7280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164" fontId="4" fillId="3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2" borderId="1" applyAlignment="1" pivotButton="0" quotePrefix="0" xfId="0">
      <alignment horizontal="center" wrapText="1"/>
    </xf>
    <xf numFmtId="0" fontId="6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calculator</t>
        </is>
      </c>
    </row>
    <row r="2"/>
    <row r="3" ht="28" customHeight="1">
      <c r="A3" s="2" t="inlineStr">
        <is>
          <t>1. Set Target ACOS and Bid Safety Margin on the Settings tab.</t>
        </is>
      </c>
    </row>
    <row r="4" ht="28" customHeight="1">
      <c r="A4" s="2" t="inlineStr">
        <is>
          <t>2. On Keyword Bids, list each keyword with your best estimate of its conversion rate (from Search Term Report history if you have it, or a category benchmark if not) and the product's average order value.</t>
        </is>
      </c>
    </row>
    <row r="5" ht="28" customHeight="1">
      <c r="A5" s="2" t="inlineStr">
        <is>
          <t>3. Enter the bid you're currently running for comparison.</t>
        </is>
      </c>
    </row>
    <row r="6" ht="28" customHeight="1">
      <c r="A6" s="2" t="inlineStr">
        <is>
          <t>4. Suggested Max CPC is the ceiling — bidding at or below it, at this CVR and AOV, keeps you at or under target ACOS if the estimate holds.</t>
        </is>
      </c>
    </row>
    <row r="7" ht="28" customHeight="1">
      <c r="A7" s="2" t="inlineStr">
        <is>
          <t>5. This is a planning tool for new or low-data keywords. Once a keyword has real spend and orders, use the STR Winner/Bleeder Scanner instead — actual performance beats an estimate.</t>
        </is>
      </c>
    </row>
    <row r="9">
      <c r="A9" t="inlineStr">
        <is>
          <t>Project Amazon PH Academy — Download Center</t>
        </is>
      </c>
    </row>
  </sheetData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0" customWidth="1" min="3" max="3"/>
  </cols>
  <sheetData>
    <row r="1">
      <c r="A1" s="1" t="inlineStr">
        <is>
          <t>Keyword Bid Calculator — Settings</t>
        </is>
      </c>
    </row>
    <row r="3">
      <c r="A3" s="3" t="inlineStr">
        <is>
          <t>Setting</t>
        </is>
      </c>
      <c r="B3" s="3" t="inlineStr">
        <is>
          <t>Value</t>
        </is>
      </c>
      <c r="C3" s="3" t="inlineStr">
        <is>
          <t>What it does</t>
        </is>
      </c>
    </row>
    <row r="4">
      <c r="A4" s="4" t="inlineStr">
        <is>
          <t>Target ACOS</t>
        </is>
      </c>
      <c r="B4" s="5" t="n">
        <v>0.3</v>
      </c>
      <c r="C4" s="6" t="inlineStr">
        <is>
          <t>The break-even ACOS this account is bidding to. Drives every suggested bid below.</t>
        </is>
      </c>
    </row>
    <row r="5">
      <c r="A5" s="4" t="inlineStr">
        <is>
          <t>Bid Safety Margin</t>
        </is>
      </c>
      <c r="B5" s="5" t="n">
        <v>0.9</v>
      </c>
      <c r="C5" s="6" t="inlineStr">
        <is>
          <t>Suggested bid is multiplied by this so you have room before hitting exactly target ACOS.</t>
        </is>
      </c>
    </row>
  </sheetData>
  <mergeCells count="1">
    <mergeCell ref="A1:C1"/>
  </mergeCells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4" customWidth="1" min="4" max="4"/>
    <col width="12" customWidth="1" min="5" max="5"/>
    <col width="16" customWidth="1" min="6" max="6"/>
    <col width="14" customWidth="1" min="7" max="7"/>
  </cols>
  <sheetData>
    <row r="1">
      <c r="A1" s="1" t="inlineStr">
        <is>
          <t>Keyword Bid Calculator</t>
        </is>
      </c>
    </row>
    <row r="2">
      <c r="A2" s="7" t="inlineStr">
        <is>
          <t>Suggested Max CPC = Target ACOS x Estimated CVR x Average Order Value x Safety Margin. This is a starting bid, not a guarantee — real auctions depend on competition too.</t>
        </is>
      </c>
    </row>
    <row r="4">
      <c r="A4" s="8" t="inlineStr">
        <is>
          <t>Keyword</t>
        </is>
      </c>
      <c r="B4" s="8" t="inlineStr">
        <is>
          <t>Match Type</t>
        </is>
      </c>
      <c r="C4" s="8" t="inlineStr">
        <is>
          <t>Est. CVR</t>
        </is>
      </c>
      <c r="D4" s="8" t="inlineStr">
        <is>
          <t>Avg Order Value</t>
        </is>
      </c>
      <c r="E4" s="8" t="inlineStr">
        <is>
          <t>Current Bid</t>
        </is>
      </c>
      <c r="F4" s="8" t="inlineStr">
        <is>
          <t>Suggested Max CPC</t>
        </is>
      </c>
      <c r="G4" s="8" t="inlineStr">
        <is>
          <t>Action</t>
        </is>
      </c>
    </row>
    <row r="5">
      <c r="A5" s="9" t="inlineStr">
        <is>
          <t>stainless steel water bottle 32 oz</t>
        </is>
      </c>
      <c r="B5" s="9" t="inlineStr">
        <is>
          <t>Exact</t>
        </is>
      </c>
      <c r="C5" s="10" t="n">
        <v>0.055</v>
      </c>
      <c r="D5" s="11" t="n">
        <v>42</v>
      </c>
      <c r="E5" s="11" t="n">
        <v>0.6</v>
      </c>
      <c r="F5" s="11">
        <f>Settings!$B$4*C5*D5*Settings!$B$5</f>
        <v/>
      </c>
      <c r="G5" s="12">
        <f>IF(E5&gt;F5*1.1,"Lower bid",IF(E5&lt;F5*0.7,"Room to raise","OK"))</f>
        <v/>
      </c>
    </row>
    <row r="6">
      <c r="A6" s="9" t="inlineStr">
        <is>
          <t>insulated water bottle with straw</t>
        </is>
      </c>
      <c r="B6" s="9" t="inlineStr">
        <is>
          <t>Exact</t>
        </is>
      </c>
      <c r="C6" s="10" t="n">
        <v>0.035</v>
      </c>
      <c r="D6" s="11" t="n">
        <v>38.5</v>
      </c>
      <c r="E6" s="11" t="n">
        <v>0.2</v>
      </c>
      <c r="F6" s="11">
        <f>Settings!$B$4*C6*D6*Settings!$B$5</f>
        <v/>
      </c>
      <c r="G6" s="12">
        <f>IF(E6&gt;F6*1.1,"Lower bid",IF(E6&lt;F6*0.7,"Room to raise","OK"))</f>
        <v/>
      </c>
    </row>
    <row r="7">
      <c r="A7" s="9" t="inlineStr">
        <is>
          <t>32 oz tumbler with handle</t>
        </is>
      </c>
      <c r="B7" s="9" t="inlineStr">
        <is>
          <t>Phrase</t>
        </is>
      </c>
      <c r="C7" s="10" t="n">
        <v>0.028</v>
      </c>
      <c r="D7" s="11" t="n">
        <v>35</v>
      </c>
      <c r="E7" s="11" t="n">
        <v>0.95</v>
      </c>
      <c r="F7" s="11">
        <f>Settings!$B$4*C7*D7*Settings!$B$5</f>
        <v/>
      </c>
      <c r="G7" s="12">
        <f>IF(E7&gt;F7*1.1,"Lower bid",IF(E7&lt;F7*0.7,"Room to raise","OK"))</f>
        <v/>
      </c>
    </row>
    <row r="8">
      <c r="A8" s="9" t="inlineStr">
        <is>
          <t>water bottle for hiking</t>
        </is>
      </c>
      <c r="B8" s="9" t="inlineStr">
        <is>
          <t>Broad</t>
        </is>
      </c>
      <c r="C8" s="10" t="n">
        <v>0.012</v>
      </c>
      <c r="D8" s="11" t="n">
        <v>40</v>
      </c>
      <c r="E8" s="11" t="n">
        <v>1.2</v>
      </c>
      <c r="F8" s="11">
        <f>Settings!$B$4*C8*D8*Settings!$B$5</f>
        <v/>
      </c>
      <c r="G8" s="12">
        <f>IF(E8&gt;F8*1.1,"Lower bid",IF(E8&lt;F8*0.7,"Room to raise","OK"))</f>
        <v/>
      </c>
    </row>
    <row r="9">
      <c r="A9" s="9" t="inlineStr">
        <is>
          <t>gym water bottle bpa free</t>
        </is>
      </c>
      <c r="B9" s="9" t="inlineStr">
        <is>
          <t>Exact</t>
        </is>
      </c>
      <c r="C9" s="10" t="n">
        <v>0.04</v>
      </c>
      <c r="D9" s="11" t="n">
        <v>30</v>
      </c>
      <c r="E9" s="11" t="n">
        <v>0.3</v>
      </c>
      <c r="F9" s="11">
        <f>Settings!$B$4*C9*D9*Settings!$B$5</f>
        <v/>
      </c>
      <c r="G9" s="12">
        <f>IF(E9&gt;F9*1.1,"Lower bid",IF(E9&lt;F9*0.7,"Room to raise","OK"))</f>
        <v/>
      </c>
    </row>
    <row r="10">
      <c r="A10" s="9" t="inlineStr">
        <is>
          <t>stainless steel tumbler 40 oz</t>
        </is>
      </c>
      <c r="B10" s="9" t="inlineStr">
        <is>
          <t>Phrase</t>
        </is>
      </c>
      <c r="C10" s="10" t="n">
        <v>0.03</v>
      </c>
      <c r="D10" s="11" t="n">
        <v>45</v>
      </c>
      <c r="E10" s="11" t="n">
        <v>0.22</v>
      </c>
      <c r="F10" s="11">
        <f>Settings!$B$4*C10*D10*Settings!$B$5</f>
        <v/>
      </c>
      <c r="G10" s="12">
        <f>IF(E10&gt;F10*1.1,"Lower bid",IF(E10&lt;F10*0.7,"Room to raise","OK"))</f>
        <v/>
      </c>
    </row>
    <row r="11">
      <c r="A11" s="9" t="inlineStr">
        <is>
          <t>cute water bottle aesthetic</t>
        </is>
      </c>
      <c r="B11" s="9" t="inlineStr">
        <is>
          <t>Broad</t>
        </is>
      </c>
      <c r="C11" s="10" t="n">
        <v>0.018</v>
      </c>
      <c r="D11" s="11" t="n">
        <v>28</v>
      </c>
      <c r="E11" s="11" t="n">
        <v>0.9</v>
      </c>
      <c r="F11" s="11">
        <f>Settings!$B$4*C11*D11*Settings!$B$5</f>
        <v/>
      </c>
      <c r="G11" s="12">
        <f>IF(E11&gt;F11*1.1,"Lower bid",IF(E11&lt;F11*0.7,"Room to raise","OK"))</f>
        <v/>
      </c>
    </row>
  </sheetData>
  <mergeCells count="2">
    <mergeCell ref="A2:H2"/>
    <mergeCell ref="A1:H1"/>
  </mergeCells>
  <conditionalFormatting sqref="G5:G11">
    <cfRule type="expression" priority="1" dxfId="0">
      <formula>G5="Lower bid"</formula>
    </cfRule>
    <cfRule type="expression" priority="2" dxfId="1">
      <formula>G5="Room to raise"</formula>
    </cfRule>
    <cfRule type="expression" priority="3" dxfId="2">
      <formula>G5="OK"</formula>
    </cfRule>
  </conditionalFormatting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Amazon PH Academy</dc:creator>
  <dcterms:created xmlns:dcterms="http://purl.org/dc/terms/" xmlns:xsi="http://www.w3.org/2001/XMLSchema-instance" xsi:type="dcterms:W3CDTF">2026-08-03T06:57:32Z</dcterms:created>
  <dcterms:modified xmlns:dcterms="http://purl.org/dc/terms/" xmlns:xsi="http://www.w3.org/2001/XMLSchema-instance" xsi:type="dcterms:W3CDTF">2026-09-11T19:58:35Z</dcterms:modified>
  <cp:lastModifiedBy>Project Amazon PH Academy</cp:lastModifiedBy>
</cp:coreProperties>
</file>