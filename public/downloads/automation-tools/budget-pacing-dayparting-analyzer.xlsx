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ettings" sheetId="2" state="visible" r:id="rId2"/>
    <sheet xmlns:r="http://schemas.openxmlformats.org/officeDocument/2006/relationships" name="Daily Pacing" sheetId="3" state="visible" r:id="rId3"/>
    <sheet xmlns:r="http://schemas.openxmlformats.org/officeDocument/2006/relationships" name="Hourly Dayparting" sheetId="4" state="visible" r:id="rId4"/>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7">
    <font>
      <name val="Calibri"/>
      <family val="2"/>
      <color theme="1"/>
      <sz val="11"/>
      <scheme val="minor"/>
    </font>
    <font>
      <name val="Arial"/>
      <b val="1"/>
      <sz val="13"/>
    </font>
    <font>
      <name val="Arial"/>
      <b val="1"/>
      <color rgb="00FFFFFF"/>
      <sz val="10"/>
    </font>
    <font>
      <name val="Arial"/>
      <b val="1"/>
      <sz val="10"/>
    </font>
    <font>
      <name val="Arial"/>
      <color rgb="000000FF"/>
      <sz val="10"/>
    </font>
    <font>
      <name val="Arial"/>
      <i val="1"/>
      <color rgb="006B7280"/>
      <sz val="9"/>
    </font>
    <font>
      <name val="Arial"/>
      <sz val="10"/>
    </font>
  </fonts>
  <fills count="4">
    <fill>
      <patternFill/>
    </fill>
    <fill>
      <patternFill patternType="gray125"/>
    </fill>
    <fill>
      <patternFill patternType="solid">
        <fgColor rgb="001F2937"/>
        <bgColor rgb="001F2937"/>
      </patternFill>
    </fill>
    <fill>
      <patternFill patternType="solid">
        <fgColor rgb="00FFFFCC"/>
        <bgColor rgb="00FFFFC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8">
    <xf numFmtId="0" fontId="0" fillId="0" borderId="0" pivotButton="0" quotePrefix="0" xfId="0"/>
    <xf numFmtId="0" fontId="1" fillId="0" borderId="0" pivotButton="0" quotePrefix="0" xfId="0"/>
    <xf numFmtId="0" fontId="6" fillId="0" borderId="0" applyAlignment="1" pivotButton="0" quotePrefix="0" xfId="0">
      <alignment wrapText="1"/>
    </xf>
    <xf numFmtId="0" fontId="2" fillId="2" borderId="0" pivotButton="0" quotePrefix="0" xfId="0"/>
    <xf numFmtId="0" fontId="3" fillId="0" borderId="0" pivotButton="0" quotePrefix="0" xfId="0"/>
    <xf numFmtId="9" fontId="4" fillId="3" borderId="0" pivotButton="0" quotePrefix="0" xfId="0"/>
    <xf numFmtId="0" fontId="5" fillId="0" borderId="0" applyAlignment="1" pivotButton="0" quotePrefix="0" xfId="0">
      <alignment wrapText="1"/>
    </xf>
    <xf numFmtId="164" fontId="4" fillId="3" borderId="0" pivotButton="0" quotePrefix="0" xfId="0"/>
    <xf numFmtId="165" fontId="4" fillId="3" borderId="0" pivotButton="0" quotePrefix="0" xfId="0"/>
    <xf numFmtId="0" fontId="5" fillId="0" borderId="0" pivotButton="0" quotePrefix="0" xfId="0"/>
    <xf numFmtId="0" fontId="2" fillId="2" borderId="1" applyAlignment="1" pivotButton="0" quotePrefix="0" xfId="0">
      <alignment horizontal="center" wrapText="1"/>
    </xf>
    <xf numFmtId="0" fontId="6" fillId="0" borderId="1" pivotButton="0" quotePrefix="0" xfId="0"/>
    <xf numFmtId="166" fontId="0" fillId="0" borderId="1" pivotButton="0" quotePrefix="0" xfId="0"/>
    <xf numFmtId="1" fontId="0" fillId="0" borderId="1" pivotButton="0" quotePrefix="0" xfId="0"/>
    <xf numFmtId="9" fontId="0" fillId="0" borderId="1" pivotButton="0" quotePrefix="0" xfId="0"/>
    <xf numFmtId="0" fontId="0" fillId="0" borderId="1" pivotButton="0" quotePrefix="0" xfId="0"/>
    <xf numFmtId="3" fontId="0" fillId="0" borderId="1" pivotButton="0" quotePrefix="0" xfId="0"/>
    <xf numFmtId="164" fontId="0" fillId="0" borderId="1" pivotButton="0" quotePrefix="0" xfId="0"/>
  </cellXfs>
  <cellStyles count="1">
    <cellStyle name="Normal" xfId="0" builtinId="0" hidden="0"/>
  </cellStyles>
  <dxfs count="3">
    <dxf>
      <font>
        <color rgb="00006100"/>
      </font>
      <fill>
        <patternFill patternType="solid">
          <fgColor rgb="00C6EFCE"/>
          <bgColor rgb="00C6EFCE"/>
        </patternFill>
      </fill>
    </dxf>
    <dxf>
      <font>
        <color rgb="009C0006"/>
      </font>
      <fill>
        <patternFill patternType="solid">
          <fgColor rgb="00FFC7CE"/>
          <bgColor rgb="00FFC7CE"/>
        </patternFill>
      </fill>
    </dxf>
    <dxf>
      <font>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1" t="inlineStr">
        <is>
          <t>How to use this analyzer</t>
        </is>
      </c>
    </row>
    <row r="2"/>
    <row r="3" ht="42" customHeight="1">
      <c r="A3" s="2" t="inlineStr">
        <is>
          <t>1. Daily Pacing: pull each campaign's daily budget and today's spend-so-far from Campaign Manager, and note how many hours have elapsed in the day. The sheet compares actual spend to the share of budget that should be spent by this hour.</t>
        </is>
      </c>
    </row>
    <row r="4" ht="42" customHeight="1">
      <c r="A4" s="2" t="inlineStr">
        <is>
          <t>2. Overpacing means the campaign is on track to run out of budget before the day ends, missing later-day traffic. Underpacing means it's not spending its budget at all — check for a bid that's too low or a budget cap elsewhere in the portfolio.</t>
        </is>
      </c>
    </row>
    <row r="5" ht="42" customHeight="1">
      <c r="A5" s="2" t="inlineStr">
        <is>
          <t>3. Hourly Dayparting: pull the hour-of-day breakdown from the Search Term / Advertised Product report (or Sponsored Products dayparting report if enrolled) for one campaign at a time.</t>
        </is>
      </c>
    </row>
    <row r="6" ht="42" customHeight="1">
      <c r="A6" s="2" t="inlineStr">
        <is>
          <t>4. Hours flagged "Consider dayparting off" are burning spend at well above target ACOS or with zero orders — candidates for an ad-schedule rule via Amazon's dayparting tool or a bulk-operations hour-by-hour bid schedule.</t>
        </is>
      </c>
    </row>
    <row r="7" ht="42" customHeight="1">
      <c r="A7" s="2" t="inlineStr">
        <is>
          <t>5. Re-run weekly. A single bad day isn't a pattern — look for hours that show up flagged more than twice in a row before making a schedule change.</t>
        </is>
      </c>
    </row>
    <row r="9">
      <c r="A9" t="inlineStr">
        <is>
          <t>Project Amazon PH Academy — Download Center</t>
        </is>
      </c>
    </row>
  </sheetData>
  <pageMargins left="0.75" right="0.75" top="1" bottom="1" header="0.5" footer="0.5"/>
  <headerFooter>
    <oddHeader/>
    <oddFooter>&amp;C&amp;9 Project Amazon PH Academy — Download Center</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12" customWidth="1" min="2" max="2"/>
    <col width="62" customWidth="1" min="3" max="3"/>
  </cols>
  <sheetData>
    <row r="1">
      <c r="A1" s="1" t="inlineStr">
        <is>
          <t>Budget Pacing &amp; Dayparting Analyzer — Settings</t>
        </is>
      </c>
    </row>
    <row r="3">
      <c r="A3" s="3" t="inlineStr">
        <is>
          <t>Setting</t>
        </is>
      </c>
      <c r="B3" s="3" t="inlineStr">
        <is>
          <t>Value</t>
        </is>
      </c>
      <c r="C3" s="3" t="inlineStr">
        <is>
          <t>What it does</t>
        </is>
      </c>
    </row>
    <row r="4">
      <c r="A4" s="4" t="inlineStr">
        <is>
          <t>Overpacing Threshold</t>
        </is>
      </c>
      <c r="B4" s="5" t="n">
        <v>1.2</v>
      </c>
      <c r="C4" s="6" t="inlineStr">
        <is>
          <t>Spend-to-expected ratio above this flags a campaign as burning budget too fast.</t>
        </is>
      </c>
    </row>
    <row r="5">
      <c r="A5" s="4" t="inlineStr">
        <is>
          <t>Underpacing Threshold</t>
        </is>
      </c>
      <c r="B5" s="5" t="n">
        <v>0.7</v>
      </c>
      <c r="C5" s="6" t="inlineStr">
        <is>
          <t>Spend-to-expected ratio below this flags a campaign as losing exposure — check for budget caps or low bids.</t>
        </is>
      </c>
    </row>
    <row r="6">
      <c r="A6" s="4" t="inlineStr">
        <is>
          <t>Target ACOS</t>
        </is>
      </c>
      <c r="B6" s="7" t="n">
        <v>0.3</v>
      </c>
      <c r="C6" s="6" t="inlineStr">
        <is>
          <t>Used on the Hourly Dayparting tab to flag high-ACOS hours.</t>
        </is>
      </c>
    </row>
    <row r="7">
      <c r="A7" s="4" t="inlineStr">
        <is>
          <t>Dayparting ACOS Multiplier</t>
        </is>
      </c>
      <c r="B7" s="8" t="n">
        <v>1.5</v>
      </c>
      <c r="C7" s="6" t="inlineStr">
        <is>
          <t>An hour with ACOS above Target ACOS times this multiplier is flagged for dayparting review.</t>
        </is>
      </c>
    </row>
  </sheetData>
  <mergeCells count="1">
    <mergeCell ref="A1:C1"/>
  </mergeCells>
  <pageMargins left="0.75" right="0.75" top="1" bottom="1" header="0.5" footer="0.5"/>
  <headerFooter>
    <oddHeader/>
    <oddFooter>&amp;C&amp;9 Project Amazon PH Academy — Download Center</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4" customWidth="1" min="6" max="6"/>
    <col width="26" customWidth="1" min="7" max="7"/>
  </cols>
  <sheetData>
    <row r="1">
      <c r="A1" s="1" t="inlineStr">
        <is>
          <t>Daily Budget Pacing</t>
        </is>
      </c>
    </row>
    <row r="2">
      <c r="A2" s="9" t="inlineStr">
        <is>
          <t>Expected Spend = Daily Budget x (Hours Elapsed / 24). Compare it to actual spend so far to catch a campaign that will blow through budget by noon, or one that's barely spending.</t>
        </is>
      </c>
    </row>
    <row r="4">
      <c r="A4" s="10" t="inlineStr">
        <is>
          <t>Campaign</t>
        </is>
      </c>
      <c r="B4" s="10" t="inlineStr">
        <is>
          <t>Daily Budget</t>
        </is>
      </c>
      <c r="C4" s="10" t="inlineStr">
        <is>
          <t>Hours Elapsed</t>
        </is>
      </c>
      <c r="D4" s="10" t="inlineStr">
        <is>
          <t>Spend So Far</t>
        </is>
      </c>
      <c r="E4" s="10" t="inlineStr">
        <is>
          <t>Expected Spend</t>
        </is>
      </c>
      <c r="F4" s="10" t="inlineStr">
        <is>
          <t>Pacing Ratio</t>
        </is>
      </c>
      <c r="G4" s="10" t="inlineStr">
        <is>
          <t>Status</t>
        </is>
      </c>
    </row>
    <row r="5">
      <c r="A5" s="11" t="inlineStr">
        <is>
          <t>SP — Exact Match Winners</t>
        </is>
      </c>
      <c r="B5" s="12" t="n">
        <v>50</v>
      </c>
      <c r="C5" s="13" t="n">
        <v>10</v>
      </c>
      <c r="D5" s="12" t="n">
        <v>38.2</v>
      </c>
      <c r="E5" s="12">
        <f>B5*C5/24</f>
        <v/>
      </c>
      <c r="F5" s="14">
        <f>IFERROR(D5/E5,0)</f>
        <v/>
      </c>
      <c r="G5" s="15">
        <f>IF(F5&gt;Settings!$B$4,"Overpacing — may exhaust budget early",IF(F5&lt;Settings!$B$5,"Underpacing — losing exposure","On pace"))</f>
        <v/>
      </c>
    </row>
    <row r="6">
      <c r="A6" s="11" t="inlineStr">
        <is>
          <t>SP — Broad Match Discovery</t>
        </is>
      </c>
      <c r="B6" s="12" t="n">
        <v>30</v>
      </c>
      <c r="C6" s="13" t="n">
        <v>10</v>
      </c>
      <c r="D6" s="12" t="n">
        <v>33.1</v>
      </c>
      <c r="E6" s="12">
        <f>B6*C6/24</f>
        <v/>
      </c>
      <c r="F6" s="14">
        <f>IFERROR(D6/E6,0)</f>
        <v/>
      </c>
      <c r="G6" s="15">
        <f>IF(F6&gt;Settings!$B$4,"Overpacing — may exhaust budget early",IF(F6&lt;Settings!$B$5,"Underpacing — losing exposure","On pace"))</f>
        <v/>
      </c>
    </row>
    <row r="7">
      <c r="A7" s="11" t="inlineStr">
        <is>
          <t>SP — Auto</t>
        </is>
      </c>
      <c r="B7" s="12" t="n">
        <v>25</v>
      </c>
      <c r="C7" s="13" t="n">
        <v>10</v>
      </c>
      <c r="D7" s="12" t="n">
        <v>6.4</v>
      </c>
      <c r="E7" s="12">
        <f>B7*C7/24</f>
        <v/>
      </c>
      <c r="F7" s="14">
        <f>IFERROR(D7/E7,0)</f>
        <v/>
      </c>
      <c r="G7" s="15">
        <f>IF(F7&gt;Settings!$B$4,"Overpacing — may exhaust budget early",IF(F7&lt;Settings!$B$5,"Underpacing — losing exposure","On pace"))</f>
        <v/>
      </c>
    </row>
    <row r="8">
      <c r="A8" s="11" t="inlineStr">
        <is>
          <t>SB — Brand Defense</t>
        </is>
      </c>
      <c r="B8" s="12" t="n">
        <v>40</v>
      </c>
      <c r="C8" s="13" t="n">
        <v>10</v>
      </c>
      <c r="D8" s="12" t="n">
        <v>18</v>
      </c>
      <c r="E8" s="12">
        <f>B8*C8/24</f>
        <v/>
      </c>
      <c r="F8" s="14">
        <f>IFERROR(D8/E8,0)</f>
        <v/>
      </c>
      <c r="G8" s="15">
        <f>IF(F8&gt;Settings!$B$4,"Overpacing — may exhaust budget early",IF(F8&lt;Settings!$B$5,"Underpacing — losing exposure","On pace"))</f>
        <v/>
      </c>
    </row>
  </sheetData>
  <mergeCells count="2">
    <mergeCell ref="A2:G2"/>
    <mergeCell ref="A1:G1"/>
  </mergeCells>
  <conditionalFormatting sqref="G5:G8">
    <cfRule type="expression" priority="1" dxfId="0">
      <formula>G5="On pace"</formula>
    </cfRule>
    <cfRule type="expression" priority="2" dxfId="1">
      <formula>G5="Overpacing — may exhaust budget early"</formula>
    </cfRule>
    <cfRule type="expression" priority="3" dxfId="2">
      <formula>G5="Underpacing — losing exposure"</formula>
    </cfRule>
  </conditionalFormatting>
  <pageMargins left="0.75" right="0.75" top="1" bottom="1" header="0.5" footer="0.5"/>
  <headerFooter>
    <oddHeader/>
    <oddFooter>&amp;C&amp;9 Project Amazon PH Academy — Download Center</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12" customWidth="1" min="1" max="1"/>
    <col width="13" customWidth="1" min="2" max="2"/>
    <col width="9" customWidth="1" min="3" max="3"/>
    <col width="10" customWidth="1" min="4" max="4"/>
    <col width="10" customWidth="1" min="5" max="5"/>
    <col width="9" customWidth="1" min="6" max="6"/>
    <col width="9" customWidth="1" min="7" max="7"/>
    <col width="30" customWidth="1" min="8" max="8"/>
  </cols>
  <sheetData>
    <row r="1">
      <c r="A1" s="1" t="inlineStr">
        <is>
          <t>Hourly Dayparting</t>
        </is>
      </c>
    </row>
    <row r="2">
      <c r="A2" s="9" t="inlineStr">
        <is>
          <t>Break one campaign's spend down by hour of day to find hours that burn budget at a bad ACOS — candidates for an ad-schedule (dayparting) rule.</t>
        </is>
      </c>
    </row>
    <row r="4">
      <c r="A4" s="10" t="inlineStr">
        <is>
          <t>Hour of Day</t>
        </is>
      </c>
      <c r="B4" s="10" t="inlineStr">
        <is>
          <t>Impressions</t>
        </is>
      </c>
      <c r="C4" s="10" t="inlineStr">
        <is>
          <t>Clicks</t>
        </is>
      </c>
      <c r="D4" s="10" t="inlineStr">
        <is>
          <t>Spend</t>
        </is>
      </c>
      <c r="E4" s="10" t="inlineStr">
        <is>
          <t>Sales</t>
        </is>
      </c>
      <c r="F4" s="10" t="inlineStr">
        <is>
          <t>Orders</t>
        </is>
      </c>
      <c r="G4" s="10" t="inlineStr">
        <is>
          <t>ACOS</t>
        </is>
      </c>
      <c r="H4" s="10" t="inlineStr">
        <is>
          <t>Recommendation</t>
        </is>
      </c>
    </row>
    <row r="5">
      <c r="A5" s="11" t="inlineStr">
        <is>
          <t>00:00–01:00</t>
        </is>
      </c>
      <c r="B5" s="16" t="n">
        <v>320</v>
      </c>
      <c r="C5" s="16" t="n">
        <v>8</v>
      </c>
      <c r="D5" s="12" t="n">
        <v>5.6</v>
      </c>
      <c r="E5" s="12" t="n">
        <v>22</v>
      </c>
      <c r="F5" s="13" t="n">
        <v>1</v>
      </c>
      <c r="G5" s="17">
        <f>IF(E5=0,"n/a",D5/E5)</f>
        <v/>
      </c>
      <c r="H5" s="15">
        <f>IF(F5=0,"No orders — review or daypart off",IF(AND(ISNUMBER(G5),G5&gt;Settings!$B$6*Settings!$B$7),"Consider dayparting off","Keep on"))</f>
        <v/>
      </c>
    </row>
    <row r="6">
      <c r="A6" s="11" t="inlineStr">
        <is>
          <t>06:00–07:00</t>
        </is>
      </c>
      <c r="B6" s="16" t="n">
        <v>1100</v>
      </c>
      <c r="C6" s="16" t="n">
        <v>34</v>
      </c>
      <c r="D6" s="12" t="n">
        <v>24.8</v>
      </c>
      <c r="E6" s="12" t="n">
        <v>210</v>
      </c>
      <c r="F6" s="13" t="n">
        <v>4</v>
      </c>
      <c r="G6" s="17">
        <f>IF(E6=0,"n/a",D6/E6)</f>
        <v/>
      </c>
      <c r="H6" s="15">
        <f>IF(F6=0,"No orders — review or daypart off",IF(AND(ISNUMBER(G6),G6&gt;Settings!$B$6*Settings!$B$7),"Consider dayparting off","Keep on"))</f>
        <v/>
      </c>
    </row>
    <row r="7">
      <c r="A7" s="11" t="inlineStr">
        <is>
          <t>09:00–10:00</t>
        </is>
      </c>
      <c r="B7" s="16" t="n">
        <v>2400</v>
      </c>
      <c r="C7" s="16" t="n">
        <v>88</v>
      </c>
      <c r="D7" s="12" t="n">
        <v>61.2</v>
      </c>
      <c r="E7" s="12" t="n">
        <v>480</v>
      </c>
      <c r="F7" s="13" t="n">
        <v>9</v>
      </c>
      <c r="G7" s="17">
        <f>IF(E7=0,"n/a",D7/E7)</f>
        <v/>
      </c>
      <c r="H7" s="15">
        <f>IF(F7=0,"No orders — review or daypart off",IF(AND(ISNUMBER(G7),G7&gt;Settings!$B$6*Settings!$B$7),"Consider dayparting off","Keep on"))</f>
        <v/>
      </c>
    </row>
    <row r="8">
      <c r="A8" s="11" t="inlineStr">
        <is>
          <t>12:00–13:00</t>
        </is>
      </c>
      <c r="B8" s="16" t="n">
        <v>3100</v>
      </c>
      <c r="C8" s="16" t="n">
        <v>120</v>
      </c>
      <c r="D8" s="12" t="n">
        <v>84.5</v>
      </c>
      <c r="E8" s="12" t="n">
        <v>260</v>
      </c>
      <c r="F8" s="13" t="n">
        <v>4</v>
      </c>
      <c r="G8" s="17">
        <f>IF(E8=0,"n/a",D8/E8)</f>
        <v/>
      </c>
      <c r="H8" s="15">
        <f>IF(F8=0,"No orders — review or daypart off",IF(AND(ISNUMBER(G8),G8&gt;Settings!$B$6*Settings!$B$7),"Consider dayparting off","Keep on"))</f>
        <v/>
      </c>
    </row>
    <row r="9">
      <c r="A9" s="11" t="inlineStr">
        <is>
          <t>15:00–16:00</t>
        </is>
      </c>
      <c r="B9" s="16" t="n">
        <v>2800</v>
      </c>
      <c r="C9" s="16" t="n">
        <v>95</v>
      </c>
      <c r="D9" s="12" t="n">
        <v>68.90000000000001</v>
      </c>
      <c r="E9" s="12" t="n">
        <v>590</v>
      </c>
      <c r="F9" s="13" t="n">
        <v>11</v>
      </c>
      <c r="G9" s="17">
        <f>IF(E9=0,"n/a",D9/E9)</f>
        <v/>
      </c>
      <c r="H9" s="15">
        <f>IF(F9=0,"No orders — review or daypart off",IF(AND(ISNUMBER(G9),G9&gt;Settings!$B$6*Settings!$B$7),"Consider dayparting off","Keep on"))</f>
        <v/>
      </c>
    </row>
    <row r="10">
      <c r="A10" s="11" t="inlineStr">
        <is>
          <t>18:00–19:00</t>
        </is>
      </c>
      <c r="B10" s="16" t="n">
        <v>3600</v>
      </c>
      <c r="C10" s="16" t="n">
        <v>140</v>
      </c>
      <c r="D10" s="12" t="n">
        <v>98.40000000000001</v>
      </c>
      <c r="E10" s="12" t="n">
        <v>340</v>
      </c>
      <c r="F10" s="13" t="n">
        <v>5</v>
      </c>
      <c r="G10" s="17">
        <f>IF(E10=0,"n/a",D10/E10)</f>
        <v/>
      </c>
      <c r="H10" s="15">
        <f>IF(F10=0,"No orders — review or daypart off",IF(AND(ISNUMBER(G10),G10&gt;Settings!$B$6*Settings!$B$7),"Consider dayparting off","Keep on"))</f>
        <v/>
      </c>
    </row>
    <row r="11">
      <c r="A11" s="11" t="inlineStr">
        <is>
          <t>21:00–22:00</t>
        </is>
      </c>
      <c r="B11" s="16" t="n">
        <v>1900</v>
      </c>
      <c r="C11" s="16" t="n">
        <v>70</v>
      </c>
      <c r="D11" s="12" t="n">
        <v>52.1</v>
      </c>
      <c r="E11" s="12" t="n">
        <v>88</v>
      </c>
      <c r="F11" s="13" t="n">
        <v>1</v>
      </c>
      <c r="G11" s="17">
        <f>IF(E11=0,"n/a",D11/E11)</f>
        <v/>
      </c>
      <c r="H11" s="15">
        <f>IF(F11=0,"No orders — review or daypart off",IF(AND(ISNUMBER(G11),G11&gt;Settings!$B$6*Settings!$B$7),"Consider dayparting off","Keep on"))</f>
        <v/>
      </c>
    </row>
    <row r="12">
      <c r="A12" s="11" t="inlineStr">
        <is>
          <t>23:00–00:00</t>
        </is>
      </c>
      <c r="B12" s="16" t="n">
        <v>500</v>
      </c>
      <c r="C12" s="16" t="n">
        <v>14</v>
      </c>
      <c r="D12" s="12" t="n">
        <v>9.800000000000001</v>
      </c>
      <c r="E12" s="12" t="n">
        <v>0</v>
      </c>
      <c r="F12" s="13" t="n">
        <v>0</v>
      </c>
      <c r="G12" s="17">
        <f>IF(E12=0,"n/a",D12/E12)</f>
        <v/>
      </c>
      <c r="H12" s="15">
        <f>IF(F12=0,"No orders — review or daypart off",IF(AND(ISNUMBER(G12),G12&gt;Settings!$B$6*Settings!$B$7),"Consider dayparting off","Keep on"))</f>
        <v/>
      </c>
    </row>
  </sheetData>
  <mergeCells count="2">
    <mergeCell ref="A2:H2"/>
    <mergeCell ref="A1:H1"/>
  </mergeCells>
  <conditionalFormatting sqref="H5:H12">
    <cfRule type="expression" priority="1" dxfId="0">
      <formula>H5="Keep on"</formula>
    </cfRule>
    <cfRule type="expression" priority="2" dxfId="1">
      <formula>H5="Consider dayparting off"</formula>
    </cfRule>
    <cfRule type="expression" priority="3" dxfId="2">
      <formula>H5="No orders — review or daypart off"</formula>
    </cfRule>
  </conditionalFormatting>
  <pageMargins left="0.75" right="0.75" top="1" bottom="1" header="0.5" footer="0.5"/>
  <headerFooter>
    <oddHeader/>
    <oddFooter>&amp;C&amp;9 Project Amazon PH Academy — Download Center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Project Amazon PH Academy</dc:creator>
  <dcterms:created xmlns:dcterms="http://purl.org/dc/terms/" xmlns:xsi="http://www.w3.org/2001/XMLSchema-instance" xsi:type="dcterms:W3CDTF">2026-08-03T06:57:33Z</dcterms:created>
  <dcterms:modified xmlns:dcterms="http://purl.org/dc/terms/" xmlns:xsi="http://www.w3.org/2001/XMLSchema-instance" xsi:type="dcterms:W3CDTF">2026-09-11T19:58:35Z</dcterms:modified>
  <cp:lastModifiedBy>Project Amazon PH Academy</cp:lastModifiedBy>
</cp:coreProperties>
</file>