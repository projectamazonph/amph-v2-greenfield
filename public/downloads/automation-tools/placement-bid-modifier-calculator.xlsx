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lac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B7280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164" fontId="4" fillId="3" borderId="0" pivotButton="0" quotePrefix="0" xfId="0"/>
    <xf numFmtId="0" fontId="5" fillId="0" borderId="0" applyAlignment="1" pivotButton="0" quotePrefix="0" xfId="0">
      <alignment wrapText="1"/>
    </xf>
    <xf numFmtId="1" fontId="4" fillId="3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6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calculator</t>
        </is>
      </c>
    </row>
    <row r="2"/>
    <row r="3" ht="28" customHeight="1">
      <c r="A3" s="2" t="inlineStr">
        <is>
          <t>1. Pull the Placement report from Campaign Manager (Bulk Operations or the Placement tab).</t>
        </is>
      </c>
    </row>
    <row r="4" ht="28" customHeight="1">
      <c r="A4" s="2" t="inlineStr">
        <is>
          <t>2. Replace the sample rows on the Placements tab with your Campaign / Placement / Impressions / Clicks / Spend / Sales / Orders columns.</t>
        </is>
      </c>
    </row>
    <row r="5" ht="28" customHeight="1">
      <c r="A5" s="2" t="inlineStr">
        <is>
          <t>3. The Recommended Modifier column is expressed as Amazon enters it (e.g. 0.50 = +50%).</t>
        </is>
      </c>
    </row>
    <row r="6" ht="28" customHeight="1">
      <c r="A6" s="2" t="inlineStr">
        <is>
          <t>4. Set your account's Target ACOS and minimum-orders threshold on the Settings tab.</t>
        </is>
      </c>
    </row>
    <row r="7" ht="28" customHeight="1">
      <c r="A7" s="2" t="inlineStr">
        <is>
          <t>5. Copy recommended modifiers into Campaign Manager's placement bid adjustments manually — this sheet doesn't push changes automatically.</t>
        </is>
      </c>
    </row>
    <row r="9">
      <c r="A9" t="inlineStr">
        <is>
          <t>Project Amazon PH Academy — Download Center</t>
        </is>
      </c>
    </row>
  </sheetData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>
      <c r="A1" s="1" t="inlineStr">
        <is>
          <t>Placement Bid Modifier Calculator — Settings</t>
        </is>
      </c>
    </row>
    <row r="3">
      <c r="A3" s="3" t="inlineStr">
        <is>
          <t>Setting</t>
        </is>
      </c>
      <c r="B3" s="3" t="inlineStr">
        <is>
          <t>Value</t>
        </is>
      </c>
      <c r="C3" s="3" t="inlineStr">
        <is>
          <t>What it does</t>
        </is>
      </c>
    </row>
    <row r="4">
      <c r="A4" s="4" t="inlineStr">
        <is>
          <t>Target ACOS</t>
        </is>
      </c>
      <c r="B4" s="5" t="n">
        <v>0.3</v>
      </c>
      <c r="C4" s="6" t="inlineStr">
        <is>
          <t>The account's break-even ACOS. Placements beating this get a positive modifier recommendation.</t>
        </is>
      </c>
    </row>
    <row r="5">
      <c r="A5" s="4" t="inlineStr">
        <is>
          <t>Min Orders for a Recommendation</t>
        </is>
      </c>
      <c r="B5" s="7" t="n">
        <v>3</v>
      </c>
      <c r="C5" s="6" t="inlineStr">
        <is>
          <t>A placement needs at least this many orders before the calculator trusts its ACOS enough to recommend a change.</t>
        </is>
      </c>
    </row>
  </sheetData>
  <mergeCells count="1">
    <mergeCell ref="A1:C1"/>
  </mergeCell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4" customWidth="1" min="11" max="11"/>
  </cols>
  <sheetData>
    <row r="1">
      <c r="A1" s="1" t="inlineStr">
        <is>
          <t>Placement Bid Modifier Calculator</t>
        </is>
      </c>
    </row>
    <row r="2">
      <c r="A2" s="8" t="inlineStr">
        <is>
          <t>Recommended modifier is Amazon's valid range: 0% to 900%. Rows with too few orders are left as "Insufficient data".</t>
        </is>
      </c>
    </row>
    <row r="4">
      <c r="A4" s="9" t="inlineStr">
        <is>
          <t>Campaign</t>
        </is>
      </c>
      <c r="B4" s="9" t="inlineStr">
        <is>
          <t>Placement</t>
        </is>
      </c>
      <c r="C4" s="9" t="inlineStr">
        <is>
          <t>Impressions</t>
        </is>
      </c>
      <c r="D4" s="9" t="inlineStr">
        <is>
          <t>Clicks</t>
        </is>
      </c>
      <c r="E4" s="9" t="inlineStr">
        <is>
          <t>Spend</t>
        </is>
      </c>
      <c r="F4" s="9" t="inlineStr">
        <is>
          <t>Sales</t>
        </is>
      </c>
      <c r="G4" s="9" t="inlineStr">
        <is>
          <t>Orders</t>
        </is>
      </c>
      <c r="H4" s="9" t="inlineStr">
        <is>
          <t>CTR</t>
        </is>
      </c>
      <c r="I4" s="9" t="inlineStr">
        <is>
          <t>CVR</t>
        </is>
      </c>
      <c r="J4" s="9" t="inlineStr">
        <is>
          <t>ACOS</t>
        </is>
      </c>
      <c r="K4" s="9" t="inlineStr">
        <is>
          <t>Recommended Modifier</t>
        </is>
      </c>
    </row>
    <row r="5">
      <c r="A5" s="10" t="inlineStr">
        <is>
          <t>SP — Exact Match Winners</t>
        </is>
      </c>
      <c r="B5" s="10" t="inlineStr">
        <is>
          <t>Top of Search</t>
        </is>
      </c>
      <c r="C5" s="11" t="n">
        <v>9200</v>
      </c>
      <c r="D5" s="11" t="n">
        <v>310</v>
      </c>
      <c r="E5" s="12" t="n">
        <v>220.4</v>
      </c>
      <c r="F5" s="12" t="n">
        <v>1840</v>
      </c>
      <c r="G5" s="13" t="n">
        <v>28</v>
      </c>
      <c r="H5" s="14">
        <f>IFERROR(D5/C5,0)</f>
        <v/>
      </c>
      <c r="I5" s="14">
        <f>IFERROR(G5/D5,0)</f>
        <v/>
      </c>
      <c r="J5" s="15">
        <f>IF(F5=0,"n/a",E5/F5)</f>
        <v/>
      </c>
      <c r="K5" s="16">
        <f>IF(G5&lt;Settings!$B$5,"Insufficient data",IF(ISNUMBER(J5),MAX(0,MIN(9,ROUND((Settings!$B$4/J5-1),2))),"n/a"))</f>
        <v/>
      </c>
    </row>
    <row r="6">
      <c r="A6" s="10" t="inlineStr">
        <is>
          <t>SP — Exact Match Winners</t>
        </is>
      </c>
      <c r="B6" s="10" t="inlineStr">
        <is>
          <t>Product Pages</t>
        </is>
      </c>
      <c r="C6" s="11" t="n">
        <v>4100</v>
      </c>
      <c r="D6" s="11" t="n">
        <v>95</v>
      </c>
      <c r="E6" s="12" t="n">
        <v>62.1</v>
      </c>
      <c r="F6" s="12" t="n">
        <v>380</v>
      </c>
      <c r="G6" s="13" t="n">
        <v>6</v>
      </c>
      <c r="H6" s="14">
        <f>IFERROR(D6/C6,0)</f>
        <v/>
      </c>
      <c r="I6" s="14">
        <f>IFERROR(G6/D6,0)</f>
        <v/>
      </c>
      <c r="J6" s="15">
        <f>IF(F6=0,"n/a",E6/F6)</f>
        <v/>
      </c>
      <c r="K6" s="16">
        <f>IF(G6&lt;Settings!$B$5,"Insufficient data",IF(ISNUMBER(J6),MAX(0,MIN(9,ROUND((Settings!$B$4/J6-1),2))),"n/a"))</f>
        <v/>
      </c>
    </row>
    <row r="7">
      <c r="A7" s="10" t="inlineStr">
        <is>
          <t>SP — Exact Match Winners</t>
        </is>
      </c>
      <c r="B7" s="10" t="inlineStr">
        <is>
          <t>Rest of Search</t>
        </is>
      </c>
      <c r="C7" s="11" t="n">
        <v>2600</v>
      </c>
      <c r="D7" s="11" t="n">
        <v>48</v>
      </c>
      <c r="E7" s="12" t="n">
        <v>28.9</v>
      </c>
      <c r="F7" s="12" t="n">
        <v>96</v>
      </c>
      <c r="G7" s="13" t="n">
        <v>2</v>
      </c>
      <c r="H7" s="14">
        <f>IFERROR(D7/C7,0)</f>
        <v/>
      </c>
      <c r="I7" s="14">
        <f>IFERROR(G7/D7,0)</f>
        <v/>
      </c>
      <c r="J7" s="15">
        <f>IF(F7=0,"n/a",E7/F7)</f>
        <v/>
      </c>
      <c r="K7" s="16">
        <f>IF(G7&lt;Settings!$B$5,"Insufficient data",IF(ISNUMBER(J7),MAX(0,MIN(9,ROUND((Settings!$B$4/J7-1),2))),"n/a"))</f>
        <v/>
      </c>
    </row>
    <row r="8">
      <c r="A8" s="10" t="inlineStr">
        <is>
          <t>SP — Broad Match Discovery</t>
        </is>
      </c>
      <c r="B8" s="10" t="inlineStr">
        <is>
          <t>Top of Search</t>
        </is>
      </c>
      <c r="C8" s="11" t="n">
        <v>6100</v>
      </c>
      <c r="D8" s="11" t="n">
        <v>180</v>
      </c>
      <c r="E8" s="12" t="n">
        <v>128.5</v>
      </c>
      <c r="F8" s="12" t="n">
        <v>340</v>
      </c>
      <c r="G8" s="13" t="n">
        <v>5</v>
      </c>
      <c r="H8" s="14">
        <f>IFERROR(D8/C8,0)</f>
        <v/>
      </c>
      <c r="I8" s="14">
        <f>IFERROR(G8/D8,0)</f>
        <v/>
      </c>
      <c r="J8" s="15">
        <f>IF(F8=0,"n/a",E8/F8)</f>
        <v/>
      </c>
      <c r="K8" s="16">
        <f>IF(G8&lt;Settings!$B$5,"Insufficient data",IF(ISNUMBER(J8),MAX(0,MIN(9,ROUND((Settings!$B$4/J8-1),2))),"n/a"))</f>
        <v/>
      </c>
    </row>
    <row r="9">
      <c r="A9" s="10" t="inlineStr">
        <is>
          <t>SP — Broad Match Discovery</t>
        </is>
      </c>
      <c r="B9" s="10" t="inlineStr">
        <is>
          <t>Product Pages</t>
        </is>
      </c>
      <c r="C9" s="11" t="n">
        <v>3300</v>
      </c>
      <c r="D9" s="11" t="n">
        <v>61</v>
      </c>
      <c r="E9" s="12" t="n">
        <v>41.2</v>
      </c>
      <c r="F9" s="12" t="n">
        <v>60</v>
      </c>
      <c r="G9" s="13" t="n">
        <v>1</v>
      </c>
      <c r="H9" s="14">
        <f>IFERROR(D9/C9,0)</f>
        <v/>
      </c>
      <c r="I9" s="14">
        <f>IFERROR(G9/D9,0)</f>
        <v/>
      </c>
      <c r="J9" s="15">
        <f>IF(F9=0,"n/a",E9/F9)</f>
        <v/>
      </c>
      <c r="K9" s="16">
        <f>IF(G9&lt;Settings!$B$5,"Insufficient data",IF(ISNUMBER(J9),MAX(0,MIN(9,ROUND((Settings!$B$4/J9-1),2))),"n/a"))</f>
        <v/>
      </c>
    </row>
    <row r="10">
      <c r="A10" s="10" t="inlineStr">
        <is>
          <t>SP — Broad Match Discovery</t>
        </is>
      </c>
      <c r="B10" s="10" t="inlineStr">
        <is>
          <t>Rest of Search</t>
        </is>
      </c>
      <c r="C10" s="11" t="n">
        <v>1800</v>
      </c>
      <c r="D10" s="11" t="n">
        <v>22</v>
      </c>
      <c r="E10" s="12" t="n">
        <v>12.4</v>
      </c>
      <c r="F10" s="12" t="n">
        <v>0</v>
      </c>
      <c r="G10" s="13" t="n">
        <v>0</v>
      </c>
      <c r="H10" s="14">
        <f>IFERROR(D10/C10,0)</f>
        <v/>
      </c>
      <c r="I10" s="14">
        <f>IFERROR(G10/D10,0)</f>
        <v/>
      </c>
      <c r="J10" s="15">
        <f>IF(F10=0,"n/a",E10/F10)</f>
        <v/>
      </c>
      <c r="K10" s="16">
        <f>IF(G10&lt;Settings!$B$5,"Insufficient data",IF(ISNUMBER(J10),MAX(0,MIN(9,ROUND((Settings!$B$4/J10-1),2))),"n/a"))</f>
        <v/>
      </c>
    </row>
    <row r="11">
      <c r="A11" s="10" t="inlineStr">
        <is>
          <t>SP — Auto</t>
        </is>
      </c>
      <c r="B11" s="10" t="inlineStr">
        <is>
          <t>Top of Search</t>
        </is>
      </c>
      <c r="C11" s="11" t="n">
        <v>7500</v>
      </c>
      <c r="D11" s="11" t="n">
        <v>210</v>
      </c>
      <c r="E11" s="12" t="n">
        <v>158.6</v>
      </c>
      <c r="F11" s="12" t="n">
        <v>610</v>
      </c>
      <c r="G11" s="13" t="n">
        <v>9</v>
      </c>
      <c r="H11" s="14">
        <f>IFERROR(D11/C11,0)</f>
        <v/>
      </c>
      <c r="I11" s="14">
        <f>IFERROR(G11/D11,0)</f>
        <v/>
      </c>
      <c r="J11" s="15">
        <f>IF(F11=0,"n/a",E11/F11)</f>
        <v/>
      </c>
      <c r="K11" s="16">
        <f>IF(G11&lt;Settings!$B$5,"Insufficient data",IF(ISNUMBER(J11),MAX(0,MIN(9,ROUND((Settings!$B$4/J11-1),2))),"n/a"))</f>
        <v/>
      </c>
    </row>
    <row r="12">
      <c r="A12" s="10" t="inlineStr">
        <is>
          <t>SB — Brand Defense</t>
        </is>
      </c>
      <c r="B12" s="10" t="inlineStr">
        <is>
          <t>Top of Search</t>
        </is>
      </c>
      <c r="C12" s="11" t="n">
        <v>5200</v>
      </c>
      <c r="D12" s="11" t="n">
        <v>140</v>
      </c>
      <c r="E12" s="12" t="n">
        <v>95.3</v>
      </c>
      <c r="F12" s="12" t="n">
        <v>780</v>
      </c>
      <c r="G12" s="13" t="n">
        <v>13</v>
      </c>
      <c r="H12" s="14">
        <f>IFERROR(D12/C12,0)</f>
        <v/>
      </c>
      <c r="I12" s="14">
        <f>IFERROR(G12/D12,0)</f>
        <v/>
      </c>
      <c r="J12" s="15">
        <f>IF(F12=0,"n/a",E12/F12)</f>
        <v/>
      </c>
      <c r="K12" s="16">
        <f>IF(G12&lt;Settings!$B$5,"Insufficient data",IF(ISNUMBER(J12),MAX(0,MIN(9,ROUND((Settings!$B$4/J12-1),2))),"n/a"))</f>
        <v/>
      </c>
    </row>
  </sheetData>
  <mergeCells count="2">
    <mergeCell ref="A2:K2"/>
    <mergeCell ref="A1:K1"/>
  </mergeCells>
  <conditionalFormatting sqref="K5:K12">
    <cfRule type="expression" priority="1" dxfId="0">
      <formula>ISNUMBER(K5)</formula>
    </cfRule>
    <cfRule type="expression" priority="2" dxfId="1">
      <formula>K5="Insufficient data"</formula>
    </cfRule>
  </conditionalFormatting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2026-08-03T05:21:24Z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