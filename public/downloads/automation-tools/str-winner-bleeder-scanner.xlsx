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earch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double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applyAlignment="1" pivotButton="0" quotePrefix="0" xfId="0">
      <alignment wrapText="1"/>
    </xf>
    <xf numFmtId="1" fontId="4" fillId="3" borderId="0" pivotButton="0" quotePrefix="0" xfId="0"/>
    <xf numFmtId="165" fontId="4" fillId="3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6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7" fillId="0" borderId="2" pivotButton="0" quotePrefix="0" xfId="0"/>
    <xf numFmtId="3" fontId="7" fillId="0" borderId="2" pivotButton="0" quotePrefix="0" xfId="0"/>
    <xf numFmtId="166" fontId="7" fillId="0" borderId="2" pivotButton="0" quotePrefix="0" xfId="0"/>
    <xf numFmtId="1" fontId="7" fillId="0" borderId="2" pivotButton="0" quotePrefix="0" xfId="0"/>
    <xf numFmtId="10" fontId="7" fillId="0" borderId="2" pivotButton="0" quotePrefix="0" xfId="0"/>
    <xf numFmtId="164" fontId="7" fillId="0" borderId="2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the STR Winner/Bleeder Scanner</t>
        </is>
      </c>
    </row>
    <row r="2"/>
    <row r="3" ht="30" customHeight="1">
      <c r="A3" s="2" t="inlineStr">
        <is>
          <t>1. Open the Search Terms tab.</t>
        </is>
      </c>
    </row>
    <row r="4" ht="30" customHeight="1">
      <c r="A4" s="2" t="inlineStr">
        <is>
          <t>2. Replace the 18 sample rows with your own Search Term Report export (Search Term, Impressions, Clicks, Spend, Sales, Orders columns only — the rest are formulas).</t>
        </is>
      </c>
    </row>
    <row r="5" ht="30" customHeight="1">
      <c r="A5" s="2" t="inlineStr">
        <is>
          <t>3. Paste new rows below the header and drag the formulas in columns G–K down to match.</t>
        </is>
      </c>
    </row>
    <row r="6" ht="30" customHeight="1">
      <c r="A6" s="2" t="inlineStr">
        <is>
          <t>4. Adjust Target ACOS and the other thresholds on the Settings tab for the account you're working.</t>
        </is>
      </c>
    </row>
    <row r="7" ht="30" customHeight="1">
      <c r="A7" s="2" t="inlineStr">
        <is>
          <t>5. WINNER = enough orders at or under target ACOS. Increase the bid or move to its own campaign.</t>
        </is>
      </c>
    </row>
    <row r="8" ht="30" customHeight="1">
      <c r="A8" s="2" t="inlineStr">
        <is>
          <t>6. BLEEDER = spend with zero orders past the threshold. Add as a negative exact-match keyword.</t>
        </is>
      </c>
    </row>
    <row r="9" ht="30" customHeight="1">
      <c r="A9" s="2" t="inlineStr">
        <is>
          <t>7. WATCH = everything else. Leave it running and re-check next week.</t>
        </is>
      </c>
    </row>
    <row r="10" ht="30" customHeight="1">
      <c r="A10" s="2" t="inlineStr"/>
    </row>
    <row r="11" ht="30" customHeight="1">
      <c r="A11" s="2" t="inlineStr">
        <is>
          <t>This is a starting framework, not a guarantee — always sanity-check flagged terms before acting, especially low-click-volume ones where the numbers are noisy.</t>
        </is>
      </c>
    </row>
    <row r="13">
      <c r="A13" t="inlineStr">
        <is>
          <t>Project Amazon PH Academy — Download Center</t>
        </is>
      </c>
    </row>
  </sheetData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5" customWidth="1" min="3" max="3"/>
  </cols>
  <sheetData>
    <row r="1">
      <c r="A1" s="1" t="inlineStr">
        <is>
          <t>STR Winner/Bleeder Scanner — Settings</t>
        </is>
      </c>
    </row>
    <row r="3">
      <c r="A3" s="3" t="inlineStr">
        <is>
          <t>Setting</t>
        </is>
      </c>
      <c r="B3" s="3" t="inlineStr">
        <is>
          <t>Value</t>
        </is>
      </c>
      <c r="C3" s="3" t="inlineStr">
        <is>
          <t>What it does</t>
        </is>
      </c>
    </row>
    <row r="4">
      <c r="A4" s="4" t="inlineStr">
        <is>
          <t>Target ACOS</t>
        </is>
      </c>
      <c r="B4" s="5" t="n">
        <v>0.3</v>
      </c>
      <c r="C4" s="6" t="inlineStr">
        <is>
          <t>A search term below this ACOS qualifies as a Winner. Edit to match your account's break-even ACOS.</t>
        </is>
      </c>
    </row>
    <row r="5">
      <c r="A5" s="4" t="inlineStr">
        <is>
          <t>Min Orders for Winner</t>
        </is>
      </c>
      <c r="B5" s="7" t="n">
        <v>2</v>
      </c>
      <c r="C5" s="6" t="inlineStr">
        <is>
          <t>A search term needs at least this many orders before it can be called a Winner.</t>
        </is>
      </c>
    </row>
    <row r="6">
      <c r="A6" s="4" t="inlineStr">
        <is>
          <t>Min Spend to Flag Bleeder (no orders)</t>
        </is>
      </c>
      <c r="B6" s="8" t="n">
        <v>15</v>
      </c>
      <c r="C6" s="6" t="inlineStr">
        <is>
          <t>A zero-order search term is flagged Bleeder once it has spent at least this much.</t>
        </is>
      </c>
    </row>
    <row r="7">
      <c r="A7" s="4" t="inlineStr">
        <is>
          <t>Min Clicks to Flag Bleeder (no orders)</t>
        </is>
      </c>
      <c r="B7" s="7" t="n">
        <v>10</v>
      </c>
      <c r="C7" s="6" t="inlineStr">
        <is>
          <t>A zero-order search term is also flagged Bleeder once it has this many clicks, even under the spend threshold.</t>
        </is>
      </c>
    </row>
    <row r="9">
      <c r="A9" s="9" t="inlineStr">
        <is>
          <t>Yellow cells are the only ones you should edit on this sheet.</t>
        </is>
      </c>
    </row>
  </sheetData>
  <mergeCells count="2">
    <mergeCell ref="A1:C1"/>
    <mergeCell ref="A9:C9"/>
  </mergeCell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</cols>
  <sheetData>
    <row r="1">
      <c r="A1" s="10" t="inlineStr">
        <is>
          <t>Search Term</t>
        </is>
      </c>
      <c r="B1" s="10" t="inlineStr">
        <is>
          <t>Impressions</t>
        </is>
      </c>
      <c r="C1" s="10" t="inlineStr">
        <is>
          <t>Clicks</t>
        </is>
      </c>
      <c r="D1" s="10" t="inlineStr">
        <is>
          <t>Spend</t>
        </is>
      </c>
      <c r="E1" s="10" t="inlineStr">
        <is>
          <t>Sales</t>
        </is>
      </c>
      <c r="F1" s="10" t="inlineStr">
        <is>
          <t>Orders</t>
        </is>
      </c>
      <c r="G1" s="10" t="inlineStr">
        <is>
          <t>CTR</t>
        </is>
      </c>
      <c r="H1" s="10" t="inlineStr">
        <is>
          <t>CPC</t>
        </is>
      </c>
      <c r="I1" s="10" t="inlineStr">
        <is>
          <t>CVR</t>
        </is>
      </c>
      <c r="J1" s="10" t="inlineStr">
        <is>
          <t>ACOS</t>
        </is>
      </c>
      <c r="K1" s="10" t="inlineStr">
        <is>
          <t>Verdict</t>
        </is>
      </c>
    </row>
    <row r="2">
      <c r="A2" s="11" t="inlineStr">
        <is>
          <t>stainless steel water bottle 32 oz</t>
        </is>
      </c>
      <c r="B2" s="12" t="n">
        <v>18400</v>
      </c>
      <c r="C2" s="12" t="n">
        <v>512</v>
      </c>
      <c r="D2" s="13" t="n">
        <v>341.2</v>
      </c>
      <c r="E2" s="13" t="n">
        <v>1620</v>
      </c>
      <c r="F2" s="14" t="n">
        <v>27</v>
      </c>
      <c r="G2" s="15">
        <f>IFERROR(C2/B2,0)</f>
        <v/>
      </c>
      <c r="H2" s="13">
        <f>IFERROR(D2/C2,0)</f>
        <v/>
      </c>
      <c r="I2" s="15">
        <f>IFERROR(F2/C2,0)</f>
        <v/>
      </c>
      <c r="J2" s="16">
        <f>IF(E2=0,"n/a",D2/E2)</f>
        <v/>
      </c>
      <c r="K2" s="17">
        <f>IF(F2&gt;=Settings!$B$5,IF(AND(ISNUMBER(J2),J2&lt;=Settings!$B$4),"WINNER","WATCH"),IF(AND(F2=0,OR(D2&gt;=Settings!$B$6,C2&gt;=Settings!$B$7)),"BLEEDER","WATCH"))</f>
        <v/>
      </c>
    </row>
    <row r="3">
      <c r="A3" s="11" t="inlineStr">
        <is>
          <t>insulated water bottle with straw</t>
        </is>
      </c>
      <c r="B3" s="12" t="n">
        <v>9200</v>
      </c>
      <c r="C3" s="12" t="n">
        <v>260</v>
      </c>
      <c r="D3" s="13" t="n">
        <v>178.4</v>
      </c>
      <c r="E3" s="13" t="n">
        <v>640</v>
      </c>
      <c r="F3" s="14" t="n">
        <v>9</v>
      </c>
      <c r="G3" s="15">
        <f>IFERROR(C3/B3,0)</f>
        <v/>
      </c>
      <c r="H3" s="13">
        <f>IFERROR(D3/C3,0)</f>
        <v/>
      </c>
      <c r="I3" s="15">
        <f>IFERROR(F3/C3,0)</f>
        <v/>
      </c>
      <c r="J3" s="16">
        <f>IF(E3=0,"n/a",D3/E3)</f>
        <v/>
      </c>
      <c r="K3" s="17">
        <f>IF(F3&gt;=Settings!$B$5,IF(AND(ISNUMBER(J3),J3&lt;=Settings!$B$4),"WINNER","WATCH"),IF(AND(F3=0,OR(D3&gt;=Settings!$B$6,C3&gt;=Settings!$B$7)),"BLEEDER","WATCH"))</f>
        <v/>
      </c>
    </row>
    <row r="4">
      <c r="A4" s="11" t="inlineStr">
        <is>
          <t>water bottle straw lid</t>
        </is>
      </c>
      <c r="B4" s="12" t="n">
        <v>6100</v>
      </c>
      <c r="C4" s="12" t="n">
        <v>205</v>
      </c>
      <c r="D4" s="13" t="n">
        <v>141.55</v>
      </c>
      <c r="E4" s="13" t="n">
        <v>84</v>
      </c>
      <c r="F4" s="14" t="n">
        <v>1</v>
      </c>
      <c r="G4" s="15">
        <f>IFERROR(C4/B4,0)</f>
        <v/>
      </c>
      <c r="H4" s="13">
        <f>IFERROR(D4/C4,0)</f>
        <v/>
      </c>
      <c r="I4" s="15">
        <f>IFERROR(F4/C4,0)</f>
        <v/>
      </c>
      <c r="J4" s="16">
        <f>IF(E4=0,"n/a",D4/E4)</f>
        <v/>
      </c>
      <c r="K4" s="17">
        <f>IF(F4&gt;=Settings!$B$5,IF(AND(ISNUMBER(J4),J4&lt;=Settings!$B$4),"WINNER","WATCH"),IF(AND(F4=0,OR(D4&gt;=Settings!$B$6,C4&gt;=Settings!$B$7)),"BLEEDER","WATCH"))</f>
        <v/>
      </c>
    </row>
    <row r="5">
      <c r="A5" s="11" t="inlineStr">
        <is>
          <t>kids water bottle leak proof</t>
        </is>
      </c>
      <c r="B5" s="12" t="n">
        <v>5400</v>
      </c>
      <c r="C5" s="12" t="n">
        <v>140</v>
      </c>
      <c r="D5" s="13" t="n">
        <v>96.3</v>
      </c>
      <c r="E5" s="13" t="n">
        <v>512</v>
      </c>
      <c r="F5" s="14" t="n">
        <v>8</v>
      </c>
      <c r="G5" s="15">
        <f>IFERROR(C5/B5,0)</f>
        <v/>
      </c>
      <c r="H5" s="13">
        <f>IFERROR(D5/C5,0)</f>
        <v/>
      </c>
      <c r="I5" s="15">
        <f>IFERROR(F5/C5,0)</f>
        <v/>
      </c>
      <c r="J5" s="16">
        <f>IF(E5=0,"n/a",D5/E5)</f>
        <v/>
      </c>
      <c r="K5" s="17">
        <f>IF(F5&gt;=Settings!$B$5,IF(AND(ISNUMBER(J5),J5&lt;=Settings!$B$4),"WINNER","WATCH"),IF(AND(F5=0,OR(D5&gt;=Settings!$B$6,C5&gt;=Settings!$B$7)),"BLEEDER","WATCH"))</f>
        <v/>
      </c>
    </row>
    <row r="6">
      <c r="A6" s="11" t="inlineStr">
        <is>
          <t>32 oz tumbler with handle</t>
        </is>
      </c>
      <c r="B6" s="12" t="n">
        <v>15800</v>
      </c>
      <c r="C6" s="12" t="n">
        <v>388</v>
      </c>
      <c r="D6" s="13" t="n">
        <v>258.9</v>
      </c>
      <c r="E6" s="13" t="n">
        <v>940</v>
      </c>
      <c r="F6" s="14" t="n">
        <v>15</v>
      </c>
      <c r="G6" s="15">
        <f>IFERROR(C6/B6,0)</f>
        <v/>
      </c>
      <c r="H6" s="13">
        <f>IFERROR(D6/C6,0)</f>
        <v/>
      </c>
      <c r="I6" s="15">
        <f>IFERROR(F6/C6,0)</f>
        <v/>
      </c>
      <c r="J6" s="16">
        <f>IF(E6=0,"n/a",D6/E6)</f>
        <v/>
      </c>
      <c r="K6" s="17">
        <f>IF(F6&gt;=Settings!$B$5,IF(AND(ISNUMBER(J6),J6&lt;=Settings!$B$4),"WINNER","WATCH"),IF(AND(F6=0,OR(D6&gt;=Settings!$B$6,C6&gt;=Settings!$B$7)),"BLEEDER","WATCH"))</f>
        <v/>
      </c>
    </row>
    <row r="7">
      <c r="A7" s="11" t="inlineStr">
        <is>
          <t>motivational water bottle time marker</t>
        </is>
      </c>
      <c r="B7" s="12" t="n">
        <v>4100</v>
      </c>
      <c r="C7" s="12" t="n">
        <v>96</v>
      </c>
      <c r="D7" s="13" t="n">
        <v>63.2</v>
      </c>
      <c r="E7" s="13" t="n">
        <v>0</v>
      </c>
      <c r="F7" s="14" t="n">
        <v>0</v>
      </c>
      <c r="G7" s="15">
        <f>IFERROR(C7/B7,0)</f>
        <v/>
      </c>
      <c r="H7" s="13">
        <f>IFERROR(D7/C7,0)</f>
        <v/>
      </c>
      <c r="I7" s="15">
        <f>IFERROR(F7/C7,0)</f>
        <v/>
      </c>
      <c r="J7" s="16">
        <f>IF(E7=0,"n/a",D7/E7)</f>
        <v/>
      </c>
      <c r="K7" s="17">
        <f>IF(F7&gt;=Settings!$B$5,IF(AND(ISNUMBER(J7),J7&lt;=Settings!$B$4),"WINNER","WATCH"),IF(AND(F7=0,OR(D7&gt;=Settings!$B$6,C7&gt;=Settings!$B$7)),"BLEEDER","WATCH"))</f>
        <v/>
      </c>
    </row>
    <row r="8">
      <c r="A8" s="11" t="inlineStr">
        <is>
          <t>gym water bottle bpa free</t>
        </is>
      </c>
      <c r="B8" s="12" t="n">
        <v>7300</v>
      </c>
      <c r="C8" s="12" t="n">
        <v>175</v>
      </c>
      <c r="D8" s="13" t="n">
        <v>121.1</v>
      </c>
      <c r="E8" s="13" t="n">
        <v>305</v>
      </c>
      <c r="F8" s="14" t="n">
        <v>5</v>
      </c>
      <c r="G8" s="15">
        <f>IFERROR(C8/B8,0)</f>
        <v/>
      </c>
      <c r="H8" s="13">
        <f>IFERROR(D8/C8,0)</f>
        <v/>
      </c>
      <c r="I8" s="15">
        <f>IFERROR(F8/C8,0)</f>
        <v/>
      </c>
      <c r="J8" s="16">
        <f>IF(E8=0,"n/a",D8/E8)</f>
        <v/>
      </c>
      <c r="K8" s="17">
        <f>IF(F8&gt;=Settings!$B$5,IF(AND(ISNUMBER(J8),J8&lt;=Settings!$B$4),"WINNER","WATCH"),IF(AND(F8=0,OR(D8&gt;=Settings!$B$6,C8&gt;=Settings!$B$7)),"BLEEDER","WATCH"))</f>
        <v/>
      </c>
    </row>
    <row r="9">
      <c r="A9" s="11" t="inlineStr">
        <is>
          <t>water bottle</t>
        </is>
      </c>
      <c r="B9" s="12" t="n">
        <v>22000</v>
      </c>
      <c r="C9" s="12" t="n">
        <v>640</v>
      </c>
      <c r="D9" s="13" t="n">
        <v>512.8</v>
      </c>
      <c r="E9" s="13" t="n">
        <v>210</v>
      </c>
      <c r="F9" s="14" t="n">
        <v>3</v>
      </c>
      <c r="G9" s="15">
        <f>IFERROR(C9/B9,0)</f>
        <v/>
      </c>
      <c r="H9" s="13">
        <f>IFERROR(D9/C9,0)</f>
        <v/>
      </c>
      <c r="I9" s="15">
        <f>IFERROR(F9/C9,0)</f>
        <v/>
      </c>
      <c r="J9" s="16">
        <f>IF(E9=0,"n/a",D9/E9)</f>
        <v/>
      </c>
      <c r="K9" s="17">
        <f>IF(F9&gt;=Settings!$B$5,IF(AND(ISNUMBER(J9),J9&lt;=Settings!$B$4),"WINNER","WATCH"),IF(AND(F9=0,OR(D9&gt;=Settings!$B$6,C9&gt;=Settings!$B$7)),"BLEEDER","WATCH"))</f>
        <v/>
      </c>
    </row>
    <row r="10">
      <c r="A10" s="11" t="inlineStr">
        <is>
          <t>stainless steel tumbler 40 oz</t>
        </is>
      </c>
      <c r="B10" s="12" t="n">
        <v>12100</v>
      </c>
      <c r="C10" s="12" t="n">
        <v>330</v>
      </c>
      <c r="D10" s="13" t="n">
        <v>214.5</v>
      </c>
      <c r="E10" s="13" t="n">
        <v>780</v>
      </c>
      <c r="F10" s="14" t="n">
        <v>12</v>
      </c>
      <c r="G10" s="15">
        <f>IFERROR(C10/B10,0)</f>
        <v/>
      </c>
      <c r="H10" s="13">
        <f>IFERROR(D10/C10,0)</f>
        <v/>
      </c>
      <c r="I10" s="15">
        <f>IFERROR(F10/C10,0)</f>
        <v/>
      </c>
      <c r="J10" s="16">
        <f>IF(E10=0,"n/a",D10/E10)</f>
        <v/>
      </c>
      <c r="K10" s="17">
        <f>IF(F10&gt;=Settings!$B$5,IF(AND(ISNUMBER(J10),J10&lt;=Settings!$B$4),"WINNER","WATCH"),IF(AND(F10=0,OR(D10&gt;=Settings!$B$6,C10&gt;=Settings!$B$7)),"BLEEDER","WATCH"))</f>
        <v/>
      </c>
    </row>
    <row r="11">
      <c r="A11" s="11" t="inlineStr">
        <is>
          <t>water bottle for hiking</t>
        </is>
      </c>
      <c r="B11" s="12" t="n">
        <v>3900</v>
      </c>
      <c r="C11" s="12" t="n">
        <v>88</v>
      </c>
      <c r="D11" s="13" t="n">
        <v>58.1</v>
      </c>
      <c r="E11" s="13" t="n">
        <v>0</v>
      </c>
      <c r="F11" s="14" t="n">
        <v>0</v>
      </c>
      <c r="G11" s="15">
        <f>IFERROR(C11/B11,0)</f>
        <v/>
      </c>
      <c r="H11" s="13">
        <f>IFERROR(D11/C11,0)</f>
        <v/>
      </c>
      <c r="I11" s="15">
        <f>IFERROR(F11/C11,0)</f>
        <v/>
      </c>
      <c r="J11" s="16">
        <f>IF(E11=0,"n/a",D11/E11)</f>
        <v/>
      </c>
      <c r="K11" s="17">
        <f>IF(F11&gt;=Settings!$B$5,IF(AND(ISNUMBER(J11),J11&lt;=Settings!$B$4),"WINNER","WATCH"),IF(AND(F11=0,OR(D11&gt;=Settings!$B$6,C11&gt;=Settings!$B$7)),"BLEEDER","WATCH"))</f>
        <v/>
      </c>
    </row>
    <row r="12">
      <c r="A12" s="11" t="inlineStr">
        <is>
          <t>cute water bottle aesthetic</t>
        </is>
      </c>
      <c r="B12" s="12" t="n">
        <v>8800</v>
      </c>
      <c r="C12" s="12" t="n">
        <v>244</v>
      </c>
      <c r="D12" s="13" t="n">
        <v>168.7</v>
      </c>
      <c r="E12" s="13" t="n">
        <v>460</v>
      </c>
      <c r="F12" s="14" t="n">
        <v>7</v>
      </c>
      <c r="G12" s="15">
        <f>IFERROR(C12/B12,0)</f>
        <v/>
      </c>
      <c r="H12" s="13">
        <f>IFERROR(D12/C12,0)</f>
        <v/>
      </c>
      <c r="I12" s="15">
        <f>IFERROR(F12/C12,0)</f>
        <v/>
      </c>
      <c r="J12" s="16">
        <f>IF(E12=0,"n/a",D12/E12)</f>
        <v/>
      </c>
      <c r="K12" s="17">
        <f>IF(F12&gt;=Settings!$B$5,IF(AND(ISNUMBER(J12),J12&lt;=Settings!$B$4),"WINNER","WATCH"),IF(AND(F12=0,OR(D12&gt;=Settings!$B$6,C12&gt;=Settings!$B$7)),"BLEEDER","WATCH"))</f>
        <v/>
      </c>
    </row>
    <row r="13">
      <c r="A13" s="11" t="inlineStr">
        <is>
          <t>water bottle straw replacement</t>
        </is>
      </c>
      <c r="B13" s="12" t="n">
        <v>2100</v>
      </c>
      <c r="C13" s="12" t="n">
        <v>61</v>
      </c>
      <c r="D13" s="13" t="n">
        <v>34.9</v>
      </c>
      <c r="E13" s="13" t="n">
        <v>0</v>
      </c>
      <c r="F13" s="14" t="n">
        <v>0</v>
      </c>
      <c r="G13" s="15">
        <f>IFERROR(C13/B13,0)</f>
        <v/>
      </c>
      <c r="H13" s="13">
        <f>IFERROR(D13/C13,0)</f>
        <v/>
      </c>
      <c r="I13" s="15">
        <f>IFERROR(F13/C13,0)</f>
        <v/>
      </c>
      <c r="J13" s="16">
        <f>IF(E13=0,"n/a",D13/E13)</f>
        <v/>
      </c>
      <c r="K13" s="17">
        <f>IF(F13&gt;=Settings!$B$5,IF(AND(ISNUMBER(J13),J13&lt;=Settings!$B$4),"WINNER","WATCH"),IF(AND(F13=0,OR(D13&gt;=Settings!$B$6,C13&gt;=Settings!$B$7)),"BLEEDER","WATCH"))</f>
        <v/>
      </c>
    </row>
    <row r="14">
      <c r="A14" s="11" t="inlineStr">
        <is>
          <t>large water jug with time marker</t>
        </is>
      </c>
      <c r="B14" s="12" t="n">
        <v>6600</v>
      </c>
      <c r="C14" s="12" t="n">
        <v>152</v>
      </c>
      <c r="D14" s="13" t="n">
        <v>104.3</v>
      </c>
      <c r="E14" s="13" t="n">
        <v>420</v>
      </c>
      <c r="F14" s="14" t="n">
        <v>6</v>
      </c>
      <c r="G14" s="15">
        <f>IFERROR(C14/B14,0)</f>
        <v/>
      </c>
      <c r="H14" s="13">
        <f>IFERROR(D14/C14,0)</f>
        <v/>
      </c>
      <c r="I14" s="15">
        <f>IFERROR(F14/C14,0)</f>
        <v/>
      </c>
      <c r="J14" s="16">
        <f>IF(E14=0,"n/a",D14/E14)</f>
        <v/>
      </c>
      <c r="K14" s="17">
        <f>IF(F14&gt;=Settings!$B$5,IF(AND(ISNUMBER(J14),J14&lt;=Settings!$B$4),"WINNER","WATCH"),IF(AND(F14=0,OR(D14&gt;=Settings!$B$6,C14&gt;=Settings!$B$7)),"BLEEDER","WATCH"))</f>
        <v/>
      </c>
    </row>
    <row r="15">
      <c r="A15" s="11" t="inlineStr">
        <is>
          <t>insulated tumbler with lid</t>
        </is>
      </c>
      <c r="B15" s="12" t="n">
        <v>9700</v>
      </c>
      <c r="C15" s="12" t="n">
        <v>228</v>
      </c>
      <c r="D15" s="13" t="n">
        <v>149.6</v>
      </c>
      <c r="E15" s="13" t="n">
        <v>690</v>
      </c>
      <c r="F15" s="14" t="n">
        <v>10</v>
      </c>
      <c r="G15" s="15">
        <f>IFERROR(C15/B15,0)</f>
        <v/>
      </c>
      <c r="H15" s="13">
        <f>IFERROR(D15/C15,0)</f>
        <v/>
      </c>
      <c r="I15" s="15">
        <f>IFERROR(F15/C15,0)</f>
        <v/>
      </c>
      <c r="J15" s="16">
        <f>IF(E15=0,"n/a",D15/E15)</f>
        <v/>
      </c>
      <c r="K15" s="17">
        <f>IF(F15&gt;=Settings!$B$5,IF(AND(ISNUMBER(J15),J15&lt;=Settings!$B$4),"WINNER","WATCH"),IF(AND(F15=0,OR(D15&gt;=Settings!$B$6,C15&gt;=Settings!$B$7)),"BLEEDER","WATCH"))</f>
        <v/>
      </c>
    </row>
    <row r="16">
      <c r="A16" s="11" t="inlineStr">
        <is>
          <t>water bottle no straw</t>
        </is>
      </c>
      <c r="B16" s="12" t="n">
        <v>1500</v>
      </c>
      <c r="C16" s="12" t="n">
        <v>22</v>
      </c>
      <c r="D16" s="13" t="n">
        <v>12.4</v>
      </c>
      <c r="E16" s="13" t="n">
        <v>0</v>
      </c>
      <c r="F16" s="14" t="n">
        <v>0</v>
      </c>
      <c r="G16" s="15">
        <f>IFERROR(C16/B16,0)</f>
        <v/>
      </c>
      <c r="H16" s="13">
        <f>IFERROR(D16/C16,0)</f>
        <v/>
      </c>
      <c r="I16" s="15">
        <f>IFERROR(F16/C16,0)</f>
        <v/>
      </c>
      <c r="J16" s="16">
        <f>IF(E16=0,"n/a",D16/E16)</f>
        <v/>
      </c>
      <c r="K16" s="17">
        <f>IF(F16&gt;=Settings!$B$5,IF(AND(ISNUMBER(J16),J16&lt;=Settings!$B$4),"WINNER","WATCH"),IF(AND(F16=0,OR(D16&gt;=Settings!$B$6,C16&gt;=Settings!$B$7)),"BLEEDER","WATCH"))</f>
        <v/>
      </c>
    </row>
    <row r="17">
      <c r="A17" s="11" t="inlineStr">
        <is>
          <t>stainless steel bottle gift set</t>
        </is>
      </c>
      <c r="B17" s="12" t="n">
        <v>3300</v>
      </c>
      <c r="C17" s="12" t="n">
        <v>74</v>
      </c>
      <c r="D17" s="13" t="n">
        <v>48.9</v>
      </c>
      <c r="E17" s="13" t="n">
        <v>260</v>
      </c>
      <c r="F17" s="14" t="n">
        <v>4</v>
      </c>
      <c r="G17" s="15">
        <f>IFERROR(C17/B17,0)</f>
        <v/>
      </c>
      <c r="H17" s="13">
        <f>IFERROR(D17/C17,0)</f>
        <v/>
      </c>
      <c r="I17" s="15">
        <f>IFERROR(F17/C17,0)</f>
        <v/>
      </c>
      <c r="J17" s="16">
        <f>IF(E17=0,"n/a",D17/E17)</f>
        <v/>
      </c>
      <c r="K17" s="17">
        <f>IF(F17&gt;=Settings!$B$5,IF(AND(ISNUMBER(J17),J17&lt;=Settings!$B$4),"WINNER","WATCH"),IF(AND(F17=0,OR(D17&gt;=Settings!$B$6,C17&gt;=Settings!$B$7)),"BLEEDER","WATCH"))</f>
        <v/>
      </c>
    </row>
    <row r="18">
      <c r="A18" s="11" t="inlineStr">
        <is>
          <t>water bottle sticker compatible</t>
        </is>
      </c>
      <c r="B18" s="12" t="n">
        <v>2800</v>
      </c>
      <c r="C18" s="12" t="n">
        <v>51</v>
      </c>
      <c r="D18" s="13" t="n">
        <v>29.3</v>
      </c>
      <c r="E18" s="13" t="n">
        <v>45</v>
      </c>
      <c r="F18" s="14" t="n">
        <v>1</v>
      </c>
      <c r="G18" s="15">
        <f>IFERROR(C18/B18,0)</f>
        <v/>
      </c>
      <c r="H18" s="13">
        <f>IFERROR(D18/C18,0)</f>
        <v/>
      </c>
      <c r="I18" s="15">
        <f>IFERROR(F18/C18,0)</f>
        <v/>
      </c>
      <c r="J18" s="16">
        <f>IF(E18=0,"n/a",D18/E18)</f>
        <v/>
      </c>
      <c r="K18" s="17">
        <f>IF(F18&gt;=Settings!$B$5,IF(AND(ISNUMBER(J18),J18&lt;=Settings!$B$4),"WINNER","WATCH"),IF(AND(F18=0,OR(D18&gt;=Settings!$B$6,C18&gt;=Settings!$B$7)),"BLEEDER","WATCH"))</f>
        <v/>
      </c>
    </row>
    <row r="19">
      <c r="A19" s="11" t="inlineStr">
        <is>
          <t>30 day water tracker bottle</t>
        </is>
      </c>
      <c r="B19" s="12" t="n">
        <v>5200</v>
      </c>
      <c r="C19" s="12" t="n">
        <v>118</v>
      </c>
      <c r="D19" s="13" t="n">
        <v>79.59999999999999</v>
      </c>
      <c r="E19" s="13" t="n">
        <v>380</v>
      </c>
      <c r="F19" s="14" t="n">
        <v>6</v>
      </c>
      <c r="G19" s="15">
        <f>IFERROR(C19/B19,0)</f>
        <v/>
      </c>
      <c r="H19" s="13">
        <f>IFERROR(D19/C19,0)</f>
        <v/>
      </c>
      <c r="I19" s="15">
        <f>IFERROR(F19/C19,0)</f>
        <v/>
      </c>
      <c r="J19" s="16">
        <f>IF(E19=0,"n/a",D19/E19)</f>
        <v/>
      </c>
      <c r="K19" s="17">
        <f>IF(F19&gt;=Settings!$B$5,IF(AND(ISNUMBER(J19),J19&lt;=Settings!$B$4),"WINNER","WATCH"),IF(AND(F19=0,OR(D19&gt;=Settings!$B$6,C19&gt;=Settings!$B$7)),"BLEEDER","WATCH"))</f>
        <v/>
      </c>
    </row>
    <row r="21">
      <c r="A21" s="18" t="inlineStr">
        <is>
          <t>TOTAL / BLENDED</t>
        </is>
      </c>
      <c r="B21" s="19">
        <f>SUM(B2:B19)</f>
        <v/>
      </c>
      <c r="C21" s="19">
        <f>SUM(C2:C19)</f>
        <v/>
      </c>
      <c r="D21" s="20">
        <f>SUM(D2:D19)</f>
        <v/>
      </c>
      <c r="E21" s="20">
        <f>SUM(E2:E19)</f>
        <v/>
      </c>
      <c r="F21" s="21">
        <f>SUM(F2:F19)</f>
        <v/>
      </c>
      <c r="G21" s="22">
        <f>IFERROR(C21/B21,0)</f>
        <v/>
      </c>
      <c r="H21" s="20">
        <f>IFERROR(D21/C21,0)</f>
        <v/>
      </c>
      <c r="I21" s="22">
        <f>IFERROR(F21/C21,0)</f>
        <v/>
      </c>
      <c r="J21" s="23">
        <f>IF(E21=0,"n/a",D21/E21)</f>
        <v/>
      </c>
    </row>
    <row r="23">
      <c r="A23" s="4" t="inlineStr">
        <is>
          <t>Winners:</t>
        </is>
      </c>
      <c r="B23">
        <f>COUNTIF(K2:K19,"WINNER")</f>
        <v/>
      </c>
    </row>
    <row r="24">
      <c r="A24" s="4" t="inlineStr">
        <is>
          <t>Bleeders:</t>
        </is>
      </c>
      <c r="B24">
        <f>COUNTIF(K2:K19,"BLEEDER")</f>
        <v/>
      </c>
    </row>
    <row r="25">
      <c r="A25" s="4" t="inlineStr">
        <is>
          <t>Watch list:</t>
        </is>
      </c>
      <c r="B25">
        <f>COUNTIF(K2:K19,"WATCH")</f>
        <v/>
      </c>
    </row>
  </sheetData>
  <conditionalFormatting sqref="K2:K19">
    <cfRule type="expression" priority="1" dxfId="0">
      <formula>K2="WINNER"</formula>
    </cfRule>
    <cfRule type="expression" priority="2" dxfId="1">
      <formula>K2="BLEEDER"</formula>
    </cfRule>
    <cfRule type="expression" priority="3" dxfId="2">
      <formula>K2="WATCH"</formula>
    </cfRule>
  </conditionalFormatting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2026-08-03T03:03:27Z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