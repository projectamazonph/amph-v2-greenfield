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core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B7280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164" fontId="4" fillId="3" borderId="0" pivotButton="0" quotePrefix="0" xfId="0"/>
    <xf numFmtId="0" fontId="5" fillId="0" borderId="0" applyAlignment="1" pivotButton="0" quotePrefix="0" xfId="0">
      <alignment wrapText="1"/>
    </xf>
    <xf numFmtId="10" fontId="4" fillId="3" borderId="0" pivotButton="0" quotePrefix="0" xfId="0"/>
    <xf numFmtId="1" fontId="4" fillId="3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6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scorecard</t>
        </is>
      </c>
    </row>
    <row r="2"/>
    <row r="3" ht="32" customHeight="1">
      <c r="A3" s="2" t="inlineStr">
        <is>
          <t>1. Set your account's Target ACOS, Target CTR, and Target CVR benchmarks on the Settings tab.</t>
        </is>
      </c>
    </row>
    <row r="4" ht="32" customHeight="1">
      <c r="A4" s="2" t="inlineStr">
        <is>
          <t>2. Paste each campaign's Spend / Sales / Orders / Clicks / Impressions from the Campaign Manager or Bulk Operations export onto the Scorecard tab.</t>
        </is>
      </c>
    </row>
    <row r="5" ht="32" customHeight="1">
      <c r="A5" s="2" t="inlineStr">
        <is>
          <t>3. Health Score blends how each campaign compares to your targets: half the score comes from ACOS, a quarter from CTR, a quarter from CVR — so a campaign can't hide a bad ACOS behind a good CTR.</t>
        </is>
      </c>
    </row>
    <row r="6" ht="32" customHeight="1">
      <c r="A6" s="2" t="inlineStr">
        <is>
          <t>4. Campaigns below the Min Orders threshold show "Insufficient data" instead of a score — a handful of clicks isn't enough signal to judge a campaign yet.</t>
        </is>
      </c>
    </row>
    <row r="7" ht="32" customHeight="1">
      <c r="A7" s="2" t="inlineStr">
        <is>
          <t>5. Use this to triage a large portfolio fast: sort by Status and start your weekly review with everything marked "At risk", then "Watch".</t>
        </is>
      </c>
    </row>
    <row r="9">
      <c r="A9" t="inlineStr">
        <is>
          <t>Project Amazon PH Academy — Download Center</t>
        </is>
      </c>
    </row>
  </sheetData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2" customWidth="1" min="3" max="3"/>
  </cols>
  <sheetData>
    <row r="1">
      <c r="A1" s="1" t="inlineStr">
        <is>
          <t>Campaign Health Scorecard — Settings</t>
        </is>
      </c>
    </row>
    <row r="3">
      <c r="A3" s="3" t="inlineStr">
        <is>
          <t>Setting</t>
        </is>
      </c>
      <c r="B3" s="3" t="inlineStr">
        <is>
          <t>Value</t>
        </is>
      </c>
      <c r="C3" s="3" t="inlineStr">
        <is>
          <t>What it does</t>
        </is>
      </c>
    </row>
    <row r="4">
      <c r="A4" s="4" t="inlineStr">
        <is>
          <t>Target ACOS</t>
        </is>
      </c>
      <c r="B4" s="5" t="n">
        <v>0.3</v>
      </c>
      <c r="C4" s="6" t="inlineStr">
        <is>
          <t>Break-even ACOS. Drives 50% of the health score.</t>
        </is>
      </c>
    </row>
    <row r="5">
      <c r="A5" s="4" t="inlineStr">
        <is>
          <t>Target CTR</t>
        </is>
      </c>
      <c r="B5" s="7" t="n">
        <v>0.004</v>
      </c>
      <c r="C5" s="6" t="inlineStr">
        <is>
          <t>Benchmark click-through rate. Drives 25% of the health score.</t>
        </is>
      </c>
    </row>
    <row r="6">
      <c r="A6" s="4" t="inlineStr">
        <is>
          <t>Target CVR</t>
        </is>
      </c>
      <c r="B6" s="5" t="n">
        <v>0.1</v>
      </c>
      <c r="C6" s="6" t="inlineStr">
        <is>
          <t>Benchmark conversion rate. Drives 25% of the health score.</t>
        </is>
      </c>
    </row>
    <row r="7">
      <c r="A7" s="4" t="inlineStr">
        <is>
          <t>Min Orders for Score</t>
        </is>
      </c>
      <c r="B7" s="8" t="n">
        <v>3</v>
      </c>
      <c r="C7" s="6" t="inlineStr">
        <is>
          <t>Below this many orders, the score is not trusted — shown as "Insufficient data" instead.</t>
        </is>
      </c>
    </row>
  </sheetData>
  <mergeCells count="1">
    <mergeCell ref="A1:C1"/>
  </mergeCell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9" customWidth="1" min="4" max="4"/>
    <col width="9" customWidth="1" min="5" max="5"/>
    <col width="12" customWidth="1" min="6" max="6"/>
    <col width="9" customWidth="1" min="7" max="7"/>
    <col width="9" customWidth="1" min="8" max="8"/>
    <col width="9" customWidth="1" min="9" max="9"/>
    <col width="13" customWidth="1" min="10" max="10"/>
    <col width="22" customWidth="1" min="11" max="11"/>
  </cols>
  <sheetData>
    <row r="1">
      <c r="A1" s="1" t="inlineStr">
        <is>
          <t>Campaign Health Scorecard</t>
        </is>
      </c>
    </row>
    <row r="2">
      <c r="A2" s="9" t="inlineStr">
        <is>
          <t>Health Score (0-100) = 50% ACOS-vs-target + 25% CTR-vs-target + 25% CVR-vs-target, each capped at 100. It's a triage score to sort campaigns for review, not a certification of performance.</t>
        </is>
      </c>
    </row>
    <row r="4">
      <c r="A4" s="10" t="inlineStr">
        <is>
          <t>Campaign</t>
        </is>
      </c>
      <c r="B4" s="10" t="inlineStr">
        <is>
          <t>Spend</t>
        </is>
      </c>
      <c r="C4" s="10" t="inlineStr">
        <is>
          <t>Sales</t>
        </is>
      </c>
      <c r="D4" s="10" t="inlineStr">
        <is>
          <t>Orders</t>
        </is>
      </c>
      <c r="E4" s="10" t="inlineStr">
        <is>
          <t>Clicks</t>
        </is>
      </c>
      <c r="F4" s="10" t="inlineStr">
        <is>
          <t>Impressions</t>
        </is>
      </c>
      <c r="G4" s="10" t="inlineStr">
        <is>
          <t>ACOS</t>
        </is>
      </c>
      <c r="H4" s="10" t="inlineStr">
        <is>
          <t>CTR</t>
        </is>
      </c>
      <c r="I4" s="10" t="inlineStr">
        <is>
          <t>CVR</t>
        </is>
      </c>
      <c r="J4" s="10" t="inlineStr">
        <is>
          <t>Health Score</t>
        </is>
      </c>
      <c r="K4" s="10" t="inlineStr">
        <is>
          <t>Status</t>
        </is>
      </c>
    </row>
    <row r="5">
      <c r="A5" s="11" t="inlineStr">
        <is>
          <t>SP — Exact Match Winners</t>
        </is>
      </c>
      <c r="B5" s="12" t="n">
        <v>220.4</v>
      </c>
      <c r="C5" s="12" t="n">
        <v>1840</v>
      </c>
      <c r="D5" s="13" t="n">
        <v>28</v>
      </c>
      <c r="E5" s="14" t="n">
        <v>310</v>
      </c>
      <c r="F5" s="14" t="n">
        <v>9200</v>
      </c>
      <c r="G5" s="15">
        <f>IF(C5=0,"n/a",B5/C5)</f>
        <v/>
      </c>
      <c r="H5" s="16">
        <f>IFERROR(E5/F5,0)</f>
        <v/>
      </c>
      <c r="I5" s="15">
        <f>IFERROR(D5/E5,0)</f>
        <v/>
      </c>
      <c r="J5" s="17">
        <f>IF(D5&lt;Settings!$B$7,"n/a",ROUND(0.5*MAX(0,MIN(100,IF(ISNUMBER(G5),(Settings!$B$4/G5)*100,0)))+0.25*MAX(0,MIN(100,(H5/Settings!$B$5)*100))+0.25*MAX(0,MIN(100,(I5/Settings!$B$6)*100)),0))</f>
        <v/>
      </c>
      <c r="K5" s="17">
        <f>IF(D5&lt;Settings!$B$7,"Insufficient data",IF(J5&gt;=80,"Healthy",IF(J5&gt;=50,"Watch","At risk")))</f>
        <v/>
      </c>
    </row>
    <row r="6">
      <c r="A6" s="11" t="inlineStr">
        <is>
          <t>SP — Broad Match Discovery</t>
        </is>
      </c>
      <c r="B6" s="12" t="n">
        <v>182.1</v>
      </c>
      <c r="C6" s="12" t="n">
        <v>400</v>
      </c>
      <c r="D6" s="13" t="n">
        <v>6</v>
      </c>
      <c r="E6" s="14" t="n">
        <v>311</v>
      </c>
      <c r="F6" s="14" t="n">
        <v>11200</v>
      </c>
      <c r="G6" s="15">
        <f>IF(C6=0,"n/a",B6/C6)</f>
        <v/>
      </c>
      <c r="H6" s="16">
        <f>IFERROR(E6/F6,0)</f>
        <v/>
      </c>
      <c r="I6" s="15">
        <f>IFERROR(D6/E6,0)</f>
        <v/>
      </c>
      <c r="J6" s="17">
        <f>IF(D6&lt;Settings!$B$7,"n/a",ROUND(0.5*MAX(0,MIN(100,IF(ISNUMBER(G6),(Settings!$B$4/G6)*100,0)))+0.25*MAX(0,MIN(100,(H6/Settings!$B$5)*100))+0.25*MAX(0,MIN(100,(I6/Settings!$B$6)*100)),0))</f>
        <v/>
      </c>
      <c r="K6" s="17">
        <f>IF(D6&lt;Settings!$B$7,"Insufficient data",IF(J6&gt;=80,"Healthy",IF(J6&gt;=50,"Watch","At risk")))</f>
        <v/>
      </c>
    </row>
    <row r="7">
      <c r="A7" s="11" t="inlineStr">
        <is>
          <t>SP — Auto</t>
        </is>
      </c>
      <c r="B7" s="12" t="n">
        <v>158.6</v>
      </c>
      <c r="C7" s="12" t="n">
        <v>610</v>
      </c>
      <c r="D7" s="13" t="n">
        <v>9</v>
      </c>
      <c r="E7" s="14" t="n">
        <v>210</v>
      </c>
      <c r="F7" s="14" t="n">
        <v>7500</v>
      </c>
      <c r="G7" s="15">
        <f>IF(C7=0,"n/a",B7/C7)</f>
        <v/>
      </c>
      <c r="H7" s="16">
        <f>IFERROR(E7/F7,0)</f>
        <v/>
      </c>
      <c r="I7" s="15">
        <f>IFERROR(D7/E7,0)</f>
        <v/>
      </c>
      <c r="J7" s="17">
        <f>IF(D7&lt;Settings!$B$7,"n/a",ROUND(0.5*MAX(0,MIN(100,IF(ISNUMBER(G7),(Settings!$B$4/G7)*100,0)))+0.25*MAX(0,MIN(100,(H7/Settings!$B$5)*100))+0.25*MAX(0,MIN(100,(I7/Settings!$B$6)*100)),0))</f>
        <v/>
      </c>
      <c r="K7" s="17">
        <f>IF(D7&lt;Settings!$B$7,"Insufficient data",IF(J7&gt;=80,"Healthy",IF(J7&gt;=50,"Watch","At risk")))</f>
        <v/>
      </c>
    </row>
    <row r="8">
      <c r="A8" s="11" t="inlineStr">
        <is>
          <t>SB — Brand Defense</t>
        </is>
      </c>
      <c r="B8" s="12" t="n">
        <v>95.3</v>
      </c>
      <c r="C8" s="12" t="n">
        <v>780</v>
      </c>
      <c r="D8" s="13" t="n">
        <v>13</v>
      </c>
      <c r="E8" s="14" t="n">
        <v>140</v>
      </c>
      <c r="F8" s="14" t="n">
        <v>5200</v>
      </c>
      <c r="G8" s="15">
        <f>IF(C8=0,"n/a",B8/C8)</f>
        <v/>
      </c>
      <c r="H8" s="16">
        <f>IFERROR(E8/F8,0)</f>
        <v/>
      </c>
      <c r="I8" s="15">
        <f>IFERROR(D8/E8,0)</f>
        <v/>
      </c>
      <c r="J8" s="17">
        <f>IF(D8&lt;Settings!$B$7,"n/a",ROUND(0.5*MAX(0,MIN(100,IF(ISNUMBER(G8),(Settings!$B$4/G8)*100,0)))+0.25*MAX(0,MIN(100,(H8/Settings!$B$5)*100))+0.25*MAX(0,MIN(100,(I8/Settings!$B$6)*100)),0))</f>
        <v/>
      </c>
      <c r="K8" s="17">
        <f>IF(D8&lt;Settings!$B$7,"Insufficient data",IF(J8&gt;=80,"Healthy",IF(J8&gt;=50,"Watch","At risk")))</f>
        <v/>
      </c>
    </row>
    <row r="9">
      <c r="A9" s="11" t="inlineStr">
        <is>
          <t>SD — Retargeting</t>
        </is>
      </c>
      <c r="B9" s="12" t="n">
        <v>64</v>
      </c>
      <c r="C9" s="12" t="n">
        <v>40</v>
      </c>
      <c r="D9" s="13" t="n">
        <v>3</v>
      </c>
      <c r="E9" s="14" t="n">
        <v>55</v>
      </c>
      <c r="F9" s="14" t="n">
        <v>6100</v>
      </c>
      <c r="G9" s="15">
        <f>IF(C9=0,"n/a",B9/C9)</f>
        <v/>
      </c>
      <c r="H9" s="16">
        <f>IFERROR(E9/F9,0)</f>
        <v/>
      </c>
      <c r="I9" s="15">
        <f>IFERROR(D9/E9,0)</f>
        <v/>
      </c>
      <c r="J9" s="17">
        <f>IF(D9&lt;Settings!$B$7,"n/a",ROUND(0.5*MAX(0,MIN(100,IF(ISNUMBER(G9),(Settings!$B$4/G9)*100,0)))+0.25*MAX(0,MIN(100,(H9/Settings!$B$5)*100))+0.25*MAX(0,MIN(100,(I9/Settings!$B$6)*100)),0))</f>
        <v/>
      </c>
      <c r="K9" s="17">
        <f>IF(D9&lt;Settings!$B$7,"Insufficient data",IF(J9&gt;=80,"Healthy",IF(J9&gt;=50,"Watch","At risk")))</f>
        <v/>
      </c>
    </row>
  </sheetData>
  <mergeCells count="2">
    <mergeCell ref="A2:L2"/>
    <mergeCell ref="A1:L1"/>
  </mergeCells>
  <conditionalFormatting sqref="K5:K9">
    <cfRule type="expression" priority="1" dxfId="0">
      <formula>K5="Healthy"</formula>
    </cfRule>
    <cfRule type="expression" priority="2" dxfId="1">
      <formula>K5="Watch"</formula>
    </cfRule>
    <cfRule type="expression" priority="3" dxfId="2">
      <formula>K5="At risk"</formula>
    </cfRule>
  </conditionalFormatting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2026-08-03T06:57:33Z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