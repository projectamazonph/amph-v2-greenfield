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double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6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7" fillId="0" borderId="2" pivotButton="0" quotePrefix="0" xfId="0"/>
    <xf numFmtId="164" fontId="7" fillId="0" borderId="2" pivotButton="0" quotePrefix="0" xfId="0"/>
    <xf numFmtId="1" fontId="7" fillId="0" borderId="2" pivotButton="0" quotePrefix="0" xfId="0"/>
    <xf numFmtId="3" fontId="7" fillId="0" borderId="2" pivotButton="0" quotePrefix="0" xfId="0"/>
    <xf numFmtId="10" fontId="7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0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3" fillId="2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9" customWidth="1" min="4" max="4"/>
    <col width="13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Amazon PPC — Client Performance Report</t>
        </is>
      </c>
    </row>
    <row r="2"/>
    <row r="3">
      <c r="A3" s="2" t="inlineStr">
        <is>
          <t>Client:</t>
        </is>
      </c>
      <c r="B3" s="3" t="inlineStr"/>
    </row>
    <row r="4">
      <c r="A4" s="2" t="inlineStr">
        <is>
          <t>Reporting Period:</t>
        </is>
      </c>
      <c r="B4" s="3" t="inlineStr"/>
    </row>
    <row r="5">
      <c r="A5" s="2" t="inlineStr">
        <is>
          <t>Prepared By:</t>
        </is>
      </c>
      <c r="B5" s="3" t="inlineStr"/>
    </row>
    <row r="6">
      <c r="A6" s="2" t="inlineStr">
        <is>
          <t>Date Prepared:</t>
        </is>
      </c>
      <c r="B6" s="3" t="inlineStr"/>
    </row>
    <row r="7"/>
    <row r="8">
      <c r="A8" s="4" t="inlineStr">
        <is>
          <t>Fill in the yellow cells above and the campaign rows below. Every other cell is a formula.</t>
        </is>
      </c>
    </row>
    <row r="9"/>
    <row r="10">
      <c r="A10" s="5" t="inlineStr">
        <is>
          <t>Campaign</t>
        </is>
      </c>
      <c r="B10" s="5" t="inlineStr">
        <is>
          <t>Spend</t>
        </is>
      </c>
      <c r="C10" s="5" t="inlineStr">
        <is>
          <t>Sales</t>
        </is>
      </c>
      <c r="D10" s="5" t="inlineStr">
        <is>
          <t>Orders</t>
        </is>
      </c>
      <c r="E10" s="5" t="inlineStr">
        <is>
          <t>Impressions</t>
        </is>
      </c>
      <c r="F10" s="5" t="inlineStr">
        <is>
          <t>Clicks</t>
        </is>
      </c>
      <c r="G10" s="5" t="inlineStr">
        <is>
          <t>CTR</t>
        </is>
      </c>
      <c r="H10" s="5" t="inlineStr">
        <is>
          <t>CVR</t>
        </is>
      </c>
      <c r="I10" s="5" t="inlineStr">
        <is>
          <t>ACOS</t>
        </is>
      </c>
      <c r="J10" s="5" t="inlineStr">
        <is>
          <t>ROAS</t>
        </is>
      </c>
    </row>
    <row r="11">
      <c r="A11" s="6" t="inlineStr">
        <is>
          <t>SP — Auto</t>
        </is>
      </c>
      <c r="B11" s="7" t="n">
        <v>210.4</v>
      </c>
      <c r="C11" s="7" t="n">
        <v>890</v>
      </c>
      <c r="D11" s="8" t="n">
        <v>18</v>
      </c>
      <c r="E11" s="9" t="n">
        <v>14200</v>
      </c>
      <c r="F11" s="9" t="n">
        <v>340</v>
      </c>
      <c r="G11" s="10">
        <f>IFERROR(F11/E11,0)</f>
        <v/>
      </c>
      <c r="H11" s="10">
        <f>IFERROR(D11/F11,0)</f>
        <v/>
      </c>
      <c r="I11" s="11">
        <f>IFERROR(B11/C11,0)</f>
        <v/>
      </c>
      <c r="J11" s="12">
        <f>IFERROR(C11/B11,0)</f>
        <v/>
      </c>
    </row>
    <row r="12">
      <c r="A12" s="6" t="inlineStr">
        <is>
          <t>SP — Broad Match Discovery</t>
        </is>
      </c>
      <c r="B12" s="7" t="n">
        <v>165.8</v>
      </c>
      <c r="C12" s="7" t="n">
        <v>520</v>
      </c>
      <c r="D12" s="8" t="n">
        <v>9</v>
      </c>
      <c r="E12" s="9" t="n">
        <v>9800</v>
      </c>
      <c r="F12" s="9" t="n">
        <v>245</v>
      </c>
      <c r="G12" s="10">
        <f>IFERROR(F12/E12,0)</f>
        <v/>
      </c>
      <c r="H12" s="10">
        <f>IFERROR(D12/F12,0)</f>
        <v/>
      </c>
      <c r="I12" s="11">
        <f>IFERROR(B12/C12,0)</f>
        <v/>
      </c>
      <c r="J12" s="12">
        <f>IFERROR(C12/B12,0)</f>
        <v/>
      </c>
    </row>
    <row r="13">
      <c r="A13" s="6" t="inlineStr">
        <is>
          <t>SP — Exact Match Winners</t>
        </is>
      </c>
      <c r="B13" s="7" t="n">
        <v>340.2</v>
      </c>
      <c r="C13" s="7" t="n">
        <v>2450</v>
      </c>
      <c r="D13" s="8" t="n">
        <v>42</v>
      </c>
      <c r="E13" s="9" t="n">
        <v>21100</v>
      </c>
      <c r="F13" s="9" t="n">
        <v>610</v>
      </c>
      <c r="G13" s="10">
        <f>IFERROR(F13/E13,0)</f>
        <v/>
      </c>
      <c r="H13" s="10">
        <f>IFERROR(D13/F13,0)</f>
        <v/>
      </c>
      <c r="I13" s="11">
        <f>IFERROR(B13/C13,0)</f>
        <v/>
      </c>
      <c r="J13" s="12">
        <f>IFERROR(C13/B13,0)</f>
        <v/>
      </c>
    </row>
    <row r="14">
      <c r="A14" s="6" t="inlineStr">
        <is>
          <t>SB — Brand Defense</t>
        </is>
      </c>
      <c r="B14" s="7" t="n">
        <v>88.59999999999999</v>
      </c>
      <c r="C14" s="7" t="n">
        <v>610</v>
      </c>
      <c r="D14" s="8" t="n">
        <v>11</v>
      </c>
      <c r="E14" s="9" t="n">
        <v>5200</v>
      </c>
      <c r="F14" s="9" t="n">
        <v>130</v>
      </c>
      <c r="G14" s="10">
        <f>IFERROR(F14/E14,0)</f>
        <v/>
      </c>
      <c r="H14" s="10">
        <f>IFERROR(D14/F14,0)</f>
        <v/>
      </c>
      <c r="I14" s="11">
        <f>IFERROR(B14/C14,0)</f>
        <v/>
      </c>
      <c r="J14" s="12">
        <f>IFERROR(C14/B14,0)</f>
        <v/>
      </c>
    </row>
    <row r="15">
      <c r="A15" s="6" t="inlineStr">
        <is>
          <t>SD — Retargeting</t>
        </is>
      </c>
      <c r="B15" s="7" t="n">
        <v>52.1</v>
      </c>
      <c r="C15" s="7" t="n">
        <v>180</v>
      </c>
      <c r="D15" s="8" t="n">
        <v>3</v>
      </c>
      <c r="E15" s="9" t="n">
        <v>4100</v>
      </c>
      <c r="F15" s="9" t="n">
        <v>62</v>
      </c>
      <c r="G15" s="10">
        <f>IFERROR(F15/E15,0)</f>
        <v/>
      </c>
      <c r="H15" s="10">
        <f>IFERROR(D15/F15,0)</f>
        <v/>
      </c>
      <c r="I15" s="11">
        <f>IFERROR(B15/C15,0)</f>
        <v/>
      </c>
      <c r="J15" s="12">
        <f>IFERROR(C15/B15,0)</f>
        <v/>
      </c>
    </row>
    <row r="16">
      <c r="A16" s="13" t="inlineStr">
        <is>
          <t>TOTAL / BLENDED</t>
        </is>
      </c>
      <c r="B16" s="14">
        <f>SUM(B11:B15)</f>
        <v/>
      </c>
      <c r="C16" s="14">
        <f>SUM(C11:C15)</f>
        <v/>
      </c>
      <c r="D16" s="15">
        <f>SUM(D11:D15)</f>
        <v/>
      </c>
      <c r="E16" s="16">
        <f>SUM(E11:E15)</f>
        <v/>
      </c>
      <c r="F16" s="16">
        <f>SUM(F11:F15)</f>
        <v/>
      </c>
      <c r="G16" s="17">
        <f>IFERROR(F16/E16,0)</f>
        <v/>
      </c>
      <c r="H16" s="17">
        <f>IFERROR(D16/F16,0)</f>
        <v/>
      </c>
      <c r="I16" s="18">
        <f>IFERROR(B16/C16,0)</f>
        <v/>
      </c>
      <c r="J16" s="19">
        <f>IFERROR(C16/B16,0)</f>
        <v/>
      </c>
    </row>
    <row r="17"/>
    <row r="18"/>
    <row r="19">
      <c r="A19" s="20" t="inlineStr">
        <is>
          <t>Month-over-Month Summary</t>
        </is>
      </c>
    </row>
    <row r="20">
      <c r="A20" s="2" t="inlineStr">
        <is>
          <t>This Period Spend</t>
        </is>
      </c>
      <c r="B20" s="21">
        <f>B16</f>
        <v/>
      </c>
    </row>
    <row r="21">
      <c r="A21" s="2" t="inlineStr">
        <is>
          <t>This Period Sales</t>
        </is>
      </c>
      <c r="B21" s="21">
        <f>C16</f>
        <v/>
      </c>
    </row>
    <row r="22">
      <c r="A22" s="2" t="inlineStr">
        <is>
          <t>This Period Blended ACOS</t>
        </is>
      </c>
      <c r="B22" s="22">
        <f>I16</f>
        <v/>
      </c>
    </row>
    <row r="23">
      <c r="A23" s="2" t="inlineStr">
        <is>
          <t>Previous Period Spend (enter manually)</t>
        </is>
      </c>
      <c r="B23" s="23" t="n">
        <v>0</v>
      </c>
    </row>
    <row r="24">
      <c r="A24" s="2" t="inlineStr">
        <is>
          <t>Previous Period Sales (enter manually)</t>
        </is>
      </c>
      <c r="B24" s="23" t="n">
        <v>0</v>
      </c>
    </row>
    <row r="25">
      <c r="A25" s="2" t="inlineStr">
        <is>
          <t>Spend Change vs. Prior Period</t>
        </is>
      </c>
      <c r="B25" s="22">
        <f>IFERROR((B20-B23)/B23,"n/a")</f>
        <v/>
      </c>
    </row>
    <row r="26">
      <c r="A26" s="2" t="inlineStr">
        <is>
          <t>Sales Change vs. Prior Period</t>
        </is>
      </c>
      <c r="B26" s="22">
        <f>IFERROR((B21-B24)/B24,"n/a")</f>
        <v/>
      </c>
    </row>
    <row r="27"/>
    <row r="28"/>
    <row r="29">
      <c r="A29" s="24" t="inlineStr">
        <is>
          <t>Notes: ACOS = Spend / Sales. ROAS = Sales / Spend. Add or remove campaign rows above the TOTAL row — formulas will need to be dragged down to cover new rows.</t>
        </is>
      </c>
    </row>
    <row r="31">
      <c r="A31" t="inlineStr">
        <is>
          <t>Project Amazon PH Academy — Download Center</t>
        </is>
      </c>
    </row>
  </sheetData>
  <mergeCells count="8">
    <mergeCell ref="A1:J1"/>
    <mergeCell ref="B3:D3"/>
    <mergeCell ref="B5:D5"/>
    <mergeCell ref="A8:J8"/>
    <mergeCell ref="B4:D4"/>
    <mergeCell ref="A29:J29"/>
    <mergeCell ref="A19:D19"/>
    <mergeCell ref="B6:D6"/>
  </mergeCells>
  <pageMargins left="0.75" right="0.75" top="1" bottom="1" header="0.5" footer="0.5"/>
  <headerFooter>
    <oddHeader/>
    <oddFooter>&amp;C&amp;9 Project Amazon PH Academy — Download Center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Project Amazon PH Academy</dc:creator>
  <dcterms:created xmlns:dcterms="http://purl.org/dc/terms/" xmlns:xsi="http://www.w3.org/2001/XMLSchema-instance" xsi:type="dcterms:W3CDTF">2026-08-03T03:09:50Z</dcterms:created>
  <dcterms:modified xmlns:dcterms="http://purl.org/dc/terms/" xmlns:xsi="http://www.w3.org/2001/XMLSchema-instance" xsi:type="dcterms:W3CDTF">2026-09-11T19:58:35Z</dcterms:modified>
  <cp:lastModifiedBy>Project Amazon PH Academy</cp:lastModifiedBy>
</cp:coreProperties>
</file>