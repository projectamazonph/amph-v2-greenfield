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Weekly Monit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mm/dd/yyyy"/>
    <numFmt numFmtId="166" formatCode="$#,##0.0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B7280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4" fillId="3" borderId="0" pivotButton="0" quotePrefix="0" xfId="0"/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2" fillId="2" borderId="1" applyAlignment="1" pivotButton="0" quotePrefix="0" xfId="0">
      <alignment horizontal="center" wrapText="1"/>
    </xf>
    <xf numFmtId="165" fontId="0" fillId="0" borderId="1" pivotButton="0" quotePrefix="0" xfId="0"/>
    <xf numFmtId="0" fontId="6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60" customWidth="1" min="3" max="3"/>
  </cols>
  <sheetData>
    <row r="1">
      <c r="A1" s="1" t="inlineStr">
        <is>
          <t>Weekly Campaign Monitoring — Settings</t>
        </is>
      </c>
    </row>
    <row r="2"/>
    <row r="3">
      <c r="A3" s="2" t="inlineStr">
        <is>
          <t>Setting</t>
        </is>
      </c>
      <c r="B3" s="2" t="inlineStr">
        <is>
          <t>Value</t>
        </is>
      </c>
      <c r="C3" s="2" t="inlineStr">
        <is>
          <t>What it does</t>
        </is>
      </c>
    </row>
    <row r="4">
      <c r="A4" s="3" t="inlineStr">
        <is>
          <t>Target ACOS</t>
        </is>
      </c>
      <c r="B4" s="4" t="n">
        <v>0.3</v>
      </c>
      <c r="C4" s="5" t="inlineStr">
        <is>
          <t>Campaigns above this ACOS this week get flagged Over Target.</t>
        </is>
      </c>
    </row>
    <row r="5">
      <c r="A5" s="3" t="inlineStr">
        <is>
          <t>Budget Utilization Alert</t>
        </is>
      </c>
      <c r="B5" s="4" t="n">
        <v>0.9</v>
      </c>
      <c r="C5" s="5" t="inlineStr">
        <is>
          <t>Campaigns spending above this share of daily budget get flagged Near Cap.</t>
        </is>
      </c>
    </row>
    <row r="7">
      <c r="A7" t="inlineStr">
        <is>
          <t>Project Amazon PH Academy — Download Center</t>
        </is>
      </c>
    </row>
  </sheetData>
  <mergeCells count="1">
    <mergeCell ref="A1:C1"/>
  </mergeCells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0" customWidth="1" min="4" max="4"/>
    <col width="11" customWidth="1" min="5" max="5"/>
    <col width="13" customWidth="1" min="6" max="6"/>
    <col width="9" customWidth="1" min="7" max="7"/>
    <col width="9" customWidth="1" min="8" max="8"/>
    <col width="11" customWidth="1" min="9" max="9"/>
    <col width="9" customWidth="1" min="10" max="10"/>
    <col width="13" customWidth="1" min="11" max="11"/>
  </cols>
  <sheetData>
    <row r="1">
      <c r="A1" s="1" t="inlineStr">
        <is>
          <t>Weekly Campaign Monitoring Sheet</t>
        </is>
      </c>
    </row>
    <row r="2">
      <c r="A2" s="6" t="inlineStr">
        <is>
          <t>One row per campaign per week. Duplicate the sheet tab for a new week, or add a Week Of column filter.</t>
        </is>
      </c>
    </row>
    <row r="4">
      <c r="A4" s="7" t="inlineStr">
        <is>
          <t>Week Of</t>
        </is>
      </c>
      <c r="B4" s="7" t="inlineStr">
        <is>
          <t>Campaign</t>
        </is>
      </c>
      <c r="C4" s="7" t="inlineStr">
        <is>
          <t>Daily Budget</t>
        </is>
      </c>
      <c r="D4" s="7" t="inlineStr">
        <is>
          <t>Spend</t>
        </is>
      </c>
      <c r="E4" s="7" t="inlineStr">
        <is>
          <t>Budget Util.</t>
        </is>
      </c>
      <c r="F4" s="7" t="inlineStr">
        <is>
          <t>Impressions</t>
        </is>
      </c>
      <c r="G4" s="7" t="inlineStr">
        <is>
          <t>Clicks</t>
        </is>
      </c>
      <c r="H4" s="7" t="inlineStr">
        <is>
          <t>CTR</t>
        </is>
      </c>
      <c r="I4" s="7" t="inlineStr">
        <is>
          <t>Sales</t>
        </is>
      </c>
      <c r="J4" s="7" t="inlineStr">
        <is>
          <t>ACOS</t>
        </is>
      </c>
      <c r="K4" s="7" t="inlineStr">
        <is>
          <t>Flag</t>
        </is>
      </c>
    </row>
    <row r="5">
      <c r="A5" s="15" t="n">
        <v>46237</v>
      </c>
      <c r="B5" s="9" t="inlineStr">
        <is>
          <t>SP — Auto</t>
        </is>
      </c>
      <c r="C5" s="16" t="n">
        <v>25</v>
      </c>
      <c r="D5" s="16" t="n">
        <v>24.1</v>
      </c>
      <c r="E5" s="11">
        <f>IFERROR(D5/C5,0)</f>
        <v/>
      </c>
      <c r="F5" s="12" t="n">
        <v>12400</v>
      </c>
      <c r="G5" s="12" t="n">
        <v>298</v>
      </c>
      <c r="H5" s="13">
        <f>IFERROR(G5/F5,0)</f>
        <v/>
      </c>
      <c r="I5" s="16" t="n">
        <v>620</v>
      </c>
      <c r="J5" s="11">
        <f>IF(I5=0,"n/a",D5/I5)</f>
        <v/>
      </c>
      <c r="K5" s="14">
        <f>IF(AND(ISNUMBER(J5),J5&gt;Settings!$B$4),"Over Target ACOS",IF(E5&gt;=Settings!$B$5,"Near Budget Cap","OK"))</f>
        <v/>
      </c>
    </row>
    <row r="6">
      <c r="A6" s="15" t="n">
        <v>46237</v>
      </c>
      <c r="B6" s="9" t="inlineStr">
        <is>
          <t>SP — Exact Match Winners</t>
        </is>
      </c>
      <c r="C6" s="16" t="n">
        <v>40</v>
      </c>
      <c r="D6" s="16" t="n">
        <v>39.8</v>
      </c>
      <c r="E6" s="11">
        <f>IFERROR(D6/C6,0)</f>
        <v/>
      </c>
      <c r="F6" s="12" t="n">
        <v>18100</v>
      </c>
      <c r="G6" s="12" t="n">
        <v>512</v>
      </c>
      <c r="H6" s="13">
        <f>IFERROR(G6/F6,0)</f>
        <v/>
      </c>
      <c r="I6" s="16" t="n">
        <v>2340</v>
      </c>
      <c r="J6" s="11">
        <f>IF(I6=0,"n/a",D6/I6)</f>
        <v/>
      </c>
      <c r="K6" s="14">
        <f>IF(AND(ISNUMBER(J6),J6&gt;Settings!$B$4),"Over Target ACOS",IF(E6&gt;=Settings!$B$5,"Near Budget Cap","OK"))</f>
        <v/>
      </c>
    </row>
    <row r="7">
      <c r="A7" s="15" t="n">
        <v>46237</v>
      </c>
      <c r="B7" s="9" t="inlineStr">
        <is>
          <t>SB — Brand Defense</t>
        </is>
      </c>
      <c r="C7" s="16" t="n">
        <v>15</v>
      </c>
      <c r="D7" s="16" t="n">
        <v>9.199999999999999</v>
      </c>
      <c r="E7" s="11">
        <f>IFERROR(D7/C7,0)</f>
        <v/>
      </c>
      <c r="F7" s="12" t="n">
        <v>3900</v>
      </c>
      <c r="G7" s="12" t="n">
        <v>88</v>
      </c>
      <c r="H7" s="13">
        <f>IFERROR(G7/F7,0)</f>
        <v/>
      </c>
      <c r="I7" s="16" t="n">
        <v>410</v>
      </c>
      <c r="J7" s="11">
        <f>IF(I7=0,"n/a",D7/I7)</f>
        <v/>
      </c>
      <c r="K7" s="14">
        <f>IF(AND(ISNUMBER(J7),J7&gt;Settings!$B$4),"Over Target ACOS",IF(E7&gt;=Settings!$B$5,"Near Budget Cap","OK"))</f>
        <v/>
      </c>
    </row>
    <row r="8">
      <c r="A8" s="15" t="n">
        <v>46237</v>
      </c>
      <c r="B8" s="9" t="inlineStr">
        <is>
          <t>SD — Retargeting</t>
        </is>
      </c>
      <c r="C8" s="16" t="n">
        <v>10</v>
      </c>
      <c r="D8" s="16" t="n">
        <v>8.699999999999999</v>
      </c>
      <c r="E8" s="11">
        <f>IFERROR(D8/C8,0)</f>
        <v/>
      </c>
      <c r="F8" s="12" t="n">
        <v>3200</v>
      </c>
      <c r="G8" s="12" t="n">
        <v>51</v>
      </c>
      <c r="H8" s="13">
        <f>IFERROR(G8/F8,0)</f>
        <v/>
      </c>
      <c r="I8" s="16" t="n">
        <v>96</v>
      </c>
      <c r="J8" s="11">
        <f>IF(I8=0,"n/a",D8/I8)</f>
        <v/>
      </c>
      <c r="K8" s="14">
        <f>IF(AND(ISNUMBER(J8),J8&gt;Settings!$B$4),"Over Target ACOS",IF(E8&gt;=Settings!$B$5,"Near Budget Cap","OK"))</f>
        <v/>
      </c>
    </row>
    <row r="9">
      <c r="A9" s="15" t="n">
        <v>46237</v>
      </c>
      <c r="B9" s="9" t="inlineStr">
        <is>
          <t>SP — Broad Match Discovery</t>
        </is>
      </c>
      <c r="C9" s="16" t="n">
        <v>20</v>
      </c>
      <c r="D9" s="16" t="n">
        <v>19.9</v>
      </c>
      <c r="E9" s="11">
        <f>IFERROR(D9/C9,0)</f>
        <v/>
      </c>
      <c r="F9" s="12" t="n">
        <v>8700</v>
      </c>
      <c r="G9" s="12" t="n">
        <v>205</v>
      </c>
      <c r="H9" s="13">
        <f>IFERROR(G9/F9,0)</f>
        <v/>
      </c>
      <c r="I9" s="16" t="n">
        <v>260</v>
      </c>
      <c r="J9" s="11">
        <f>IF(I9=0,"n/a",D9/I9)</f>
        <v/>
      </c>
      <c r="K9" s="14">
        <f>IF(AND(ISNUMBER(J9),J9&gt;Settings!$B$4),"Over Target ACOS",IF(E9&gt;=Settings!$B$5,"Near Budget Cap","OK"))</f>
        <v/>
      </c>
    </row>
  </sheetData>
  <mergeCells count="2">
    <mergeCell ref="A2:K2"/>
    <mergeCell ref="A1:K1"/>
  </mergeCells>
  <conditionalFormatting sqref="K5:K9">
    <cfRule type="expression" priority="1" dxfId="0">
      <formula>K5="OK"</formula>
    </cfRule>
    <cfRule type="expression" priority="2" dxfId="1">
      <formula>K5="Over Target ACOS"</formula>
    </cfRule>
    <cfRule type="expression" priority="3" dxfId="2">
      <formula>K5="Near Budget Cap"</formula>
    </cfRule>
  </conditionalFormatting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Project Amazon PH Academy</dc:creator>
  <dcterms:created xmlns:dcterms="http://purl.org/dc/terms/" xmlns:xsi="http://www.w3.org/2001/XMLSchema-instance" xsi:type="dcterms:W3CDTF">2026-08-03T03:10:18Z</dcterms:created>
  <dcterms:modified xmlns:dcterms="http://purl.org/dc/terms/" xmlns:xsi="http://www.w3.org/2001/XMLSchema-instance" xsi:type="dcterms:W3CDTF">2026-09-11T19:58:35Z</dcterms:modified>
  <cp:lastModifiedBy>Project Amazon PH Academy</cp:lastModifiedBy>
</cp:coreProperties>
</file>