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th Lab" sheetId="2" state="visible" r:id="rId2"/>
    <sheet xmlns:r="http://schemas.openxmlformats.org/officeDocument/2006/relationships"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Georgia"/>
      <b val="1"/>
      <color rgb="00172433"/>
      <sz val="20"/>
    </font>
    <font>
      <name val="Calibri"/>
      <i val="1"/>
      <color rgb="0052606D"/>
      <sz val="10"/>
    </font>
    <font>
      <name val="Georgia"/>
      <b val="1"/>
      <color rgb="00172433"/>
      <sz val="12"/>
    </font>
    <font>
      <name val="Georgia"/>
      <b val="1"/>
      <color rgb="00FFFFFF"/>
      <sz val="10"/>
    </font>
    <font>
      <name val="Calibri"/>
      <color rgb="001B2733"/>
      <sz val="10"/>
    </font>
    <font>
      <name val="Calibri"/>
      <i val="1"/>
      <color rgb="0052606D"/>
      <sz val="9"/>
    </font>
  </fonts>
  <fills count="6">
    <fill>
      <patternFill/>
    </fill>
    <fill>
      <patternFill patternType="gray125"/>
    </fill>
    <fill>
      <patternFill patternType="solid">
        <fgColor rgb="00FFF3DD"/>
      </patternFill>
    </fill>
    <fill>
      <patternFill patternType="solid">
        <fgColor rgb="00172433"/>
      </patternFill>
    </fill>
    <fill>
      <patternFill patternType="solid">
        <fgColor rgb="00FFFDE7"/>
      </patternFill>
    </fill>
    <fill>
      <patternFill patternType="solid">
        <fgColor rgb="00EAF2FF"/>
      </patternFill>
    </fill>
  </fills>
  <borders count="7">
    <border>
      <left/>
      <right/>
      <top/>
      <bottom/>
      <diagonal/>
    </border>
    <border>
      <left style="thin">
        <color rgb="00D9E1E8"/>
      </left>
      <right/>
      <top style="medium">
        <color rgb="00172433"/>
      </top>
      <bottom style="medium">
        <color rgb="00172433"/>
      </bottom>
    </border>
    <border>
      <left/>
      <right style="thin">
        <color rgb="00D9E1E8"/>
      </right>
      <top style="medium">
        <color rgb="00172433"/>
      </top>
      <bottom style="medium">
        <color rgb="00172433"/>
      </bottom>
    </border>
    <border>
      <left style="thin">
        <color rgb="00D9E1E8"/>
      </left>
      <right/>
      <top style="thin">
        <color rgb="00D9E1E8"/>
      </top>
      <bottom style="thin">
        <color rgb="00D9E1E8"/>
      </bottom>
    </border>
    <border>
      <left/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medium">
        <color rgb="00172433"/>
      </top>
      <bottom style="medium">
        <color rgb="00172433"/>
      </bottom>
    </border>
    <border>
      <left/>
      <right/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5" fontId="5" fillId="4" borderId="6" applyAlignment="1" pivotButton="0" quotePrefix="0" xfId="0">
      <alignment horizontal="center" vertical="center" wrapText="1"/>
    </xf>
    <xf numFmtId="164" fontId="5" fillId="4" borderId="6" applyAlignment="1" pivotButton="0" quotePrefix="0" xfId="0">
      <alignment horizontal="center" vertical="center" wrapText="1"/>
    </xf>
    <xf numFmtId="165" fontId="5" fillId="5" borderId="6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164" fontId="5" fillId="5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DECEA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58" customWidth="1" min="3" max="3"/>
  </cols>
  <sheetData>
    <row r="2" ht="30" customHeight="1">
      <c r="B2" s="1" t="inlineStr">
        <is>
          <t>PPC Math Lab</t>
        </is>
      </c>
    </row>
    <row r="3" ht="28" customHeight="1">
      <c r="B3" s="2" t="inlineStr">
        <is>
          <t>Formula-driven practice for Modules 1–2. Replace yellow cells with evidence; blue cells calculate the ratios that guide your decision.</t>
        </is>
      </c>
    </row>
    <row r="5" ht="22" customHeight="1">
      <c r="B5" s="3" t="inlineStr">
        <is>
          <t>HOW TO USE THIS WORKBOOK</t>
        </is>
      </c>
    </row>
    <row r="6" ht="30" customHeight="1">
      <c r="B6" s="4" t="inlineStr">
        <is>
          <t>Sheet</t>
        </is>
      </c>
      <c r="C6" s="5" t="inlineStr">
        <is>
          <t>What you do there</t>
        </is>
      </c>
    </row>
    <row r="7" ht="22" customHeight="1">
      <c r="B7" s="6" t="inlineStr">
        <is>
          <t>Math Lab</t>
        </is>
      </c>
      <c r="C7" s="7" t="inlineStr">
        <is>
          <t>Enter traffic, order, spend, sales, total sales, and margin inputs; review calculated metrics.</t>
        </is>
      </c>
    </row>
    <row r="8" ht="22" customHeight="1">
      <c r="B8" s="6" t="inlineStr">
        <is>
          <t>Decision Cases</t>
        </is>
      </c>
      <c r="C8" s="7" t="inlineStr">
        <is>
          <t>Test familiar course examples and write the next safe action.</t>
        </is>
      </c>
    </row>
    <row r="9" ht="22" customHeight="1">
      <c r="B9" s="6" t="inlineStr">
        <is>
          <t>Definitions</t>
        </is>
      </c>
      <c r="C9" s="7" t="inlineStr">
        <is>
          <t>Formula references and decision notes.</t>
        </is>
      </c>
    </row>
    <row r="11" ht="22" customHeight="1">
      <c r="B11" s="3" t="inlineStr">
        <is>
          <t>INPUT / OUTPUT KEY</t>
        </is>
      </c>
    </row>
    <row r="12" ht="30" customHeight="1">
      <c r="B12" s="4" t="inlineStr">
        <is>
          <t>Cell color</t>
        </is>
      </c>
      <c r="C12" s="5" t="inlineStr">
        <is>
          <t>Meaning</t>
        </is>
      </c>
    </row>
    <row r="13" ht="22" customHeight="1">
      <c r="B13" s="6" t="inlineStr">
        <is>
          <t>Pale yellow</t>
        </is>
      </c>
      <c r="C13" s="7" t="inlineStr">
        <is>
          <t>Editable input. Replace the worked example with your account or simulator evidence.</t>
        </is>
      </c>
    </row>
    <row r="14" ht="22" customHeight="1">
      <c r="B14" s="6" t="inlineStr">
        <is>
          <t>Pale blue</t>
        </is>
      </c>
      <c r="C14" s="7" t="inlineStr">
        <is>
          <t>Formula or structured output. Verify that the formula matches the decision you are making.</t>
        </is>
      </c>
    </row>
    <row r="15" ht="22" customHeight="1">
      <c r="B15" s="6" t="inlineStr">
        <is>
          <t>Pale orange</t>
        </is>
      </c>
      <c r="C15" s="7" t="inlineStr">
        <is>
          <t>Section header or operating instruction.</t>
        </is>
      </c>
    </row>
    <row r="17" ht="30" customHeight="1">
      <c r="B17" s="8" t="inlineStr">
        <is>
          <t>This workbook supports learning and structured practice. Use approved account data, client policy, and facilitator feedback before acting in a live account.</t>
        </is>
      </c>
    </row>
  </sheetData>
  <mergeCells count="5">
    <mergeCell ref="B3:G3"/>
    <mergeCell ref="B2:G2"/>
    <mergeCell ref="B5:G5"/>
    <mergeCell ref="B17:G17"/>
    <mergeCell ref="B11:G11"/>
  </mergeCells>
  <pageMargins left="0.3" right="0.3" top="0.5" bottom="0.5" header="0.5" footer="0.5"/>
  <pageSetup fitToHeight="0" fitToWidth="1"/>
  <headerFooter>
    <oddHeader>&amp;C&amp;BPPC Math Lab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Q1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80" customWidth="1" min="3" max="3"/>
    <col width="11" customWidth="1" min="4" max="4"/>
    <col width="11" customWidth="1" min="5" max="5"/>
    <col width="12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6" customWidth="1" min="17" max="17"/>
  </cols>
  <sheetData>
    <row r="2" ht="30" customHeight="1">
      <c r="B2" s="1" t="inlineStr">
        <is>
          <t>PPC Math Lab</t>
        </is>
      </c>
    </row>
    <row r="3" ht="28" customHeight="1">
      <c r="B3" s="2" t="inlineStr">
        <is>
          <t>Modules 1–2 · All yellow cells are editable. Formulas recalculate in Excel or compatible spreadsheet software.</t>
        </is>
      </c>
    </row>
    <row r="5" ht="22" customHeight="1">
      <c r="B5" s="3" t="inlineStr">
        <is>
          <t>INPUTS AND CALCULATED METRICS</t>
        </is>
      </c>
    </row>
    <row r="6" ht="30" customHeight="1">
      <c r="B6" s="4" t="inlineStr">
        <is>
          <t>Case</t>
        </is>
      </c>
      <c r="C6" s="9" t="inlineStr">
        <is>
          <t>Impressions</t>
        </is>
      </c>
      <c r="D6" s="9" t="inlineStr">
        <is>
          <t>Clicks</t>
        </is>
      </c>
      <c r="E6" s="9" t="inlineStr">
        <is>
          <t>Orders</t>
        </is>
      </c>
      <c r="F6" s="9" t="inlineStr">
        <is>
          <t>Spend</t>
        </is>
      </c>
      <c r="G6" s="9" t="inlineStr">
        <is>
          <t>Ad Sales</t>
        </is>
      </c>
      <c r="H6" s="9" t="inlineStr">
        <is>
          <t>Total Sales</t>
        </is>
      </c>
      <c r="I6" s="9" t="inlineStr">
        <is>
          <t>Margin</t>
        </is>
      </c>
      <c r="J6" s="9" t="inlineStr">
        <is>
          <t>CTR</t>
        </is>
      </c>
      <c r="K6" s="9" t="inlineStr">
        <is>
          <t>CPC</t>
        </is>
      </c>
      <c r="L6" s="9" t="inlineStr">
        <is>
          <t>CVR</t>
        </is>
      </c>
      <c r="M6" s="9" t="inlineStr">
        <is>
          <t>ACOS</t>
        </is>
      </c>
      <c r="N6" s="9" t="inlineStr">
        <is>
          <t>ROAS</t>
        </is>
      </c>
      <c r="O6" s="9" t="inlineStr">
        <is>
          <t>TACoS</t>
        </is>
      </c>
      <c r="P6" s="9" t="inlineStr">
        <is>
          <t>Break-even ACOS</t>
        </is>
      </c>
      <c r="Q6" s="5" t="inlineStr">
        <is>
          <t>Target ACOS buffer</t>
        </is>
      </c>
    </row>
    <row r="7" ht="22" customHeight="1">
      <c r="B7" s="6" t="inlineStr">
        <is>
          <t>Course worked example</t>
        </is>
      </c>
      <c r="C7" s="10" t="n">
        <v>1000</v>
      </c>
      <c r="D7" s="10" t="n">
        <v>5</v>
      </c>
      <c r="E7" s="10" t="n">
        <v>1</v>
      </c>
      <c r="F7" s="11" t="n">
        <v>20</v>
      </c>
      <c r="G7" s="11" t="n">
        <v>100</v>
      </c>
      <c r="H7" s="11" t="n">
        <v>150</v>
      </c>
      <c r="I7" s="12" t="n">
        <v>0.3</v>
      </c>
      <c r="J7" s="13">
        <f>IFERROR(C7/B7,0)</f>
        <v/>
      </c>
      <c r="K7" s="14">
        <f>IFERROR(F7/C7,0)</f>
        <v/>
      </c>
      <c r="L7" s="14">
        <f>IFERROR(D7/C7,0)</f>
        <v/>
      </c>
      <c r="M7" s="15">
        <f>IFERROR(F7/G7,0)</f>
        <v/>
      </c>
      <c r="N7" s="14">
        <f>IFERROR(G7/F7,0)</f>
        <v/>
      </c>
      <c r="O7" s="14">
        <f>IFERROR(F7/H7,0)</f>
        <v/>
      </c>
      <c r="P7" s="14">
        <f>I7</f>
        <v/>
      </c>
      <c r="Q7" s="16">
        <f>P7-N7</f>
        <v/>
      </c>
    </row>
    <row r="8" ht="22" customHeight="1">
      <c r="B8" s="6" t="inlineStr">
        <is>
          <t>Your scenario</t>
        </is>
      </c>
      <c r="C8" s="10" t="inlineStr"/>
      <c r="D8" s="10" t="inlineStr"/>
      <c r="E8" s="10" t="inlineStr"/>
      <c r="F8" s="11" t="inlineStr"/>
      <c r="G8" s="11" t="inlineStr"/>
      <c r="H8" s="11" t="inlineStr"/>
      <c r="I8" s="12" t="inlineStr"/>
      <c r="J8" s="13">
        <f>IFERROR(C8/B8,0)</f>
        <v/>
      </c>
      <c r="K8" s="14">
        <f>IFERROR(F8/C8,0)</f>
        <v/>
      </c>
      <c r="L8" s="14">
        <f>IFERROR(D8/C8,0)</f>
        <v/>
      </c>
      <c r="M8" s="15">
        <f>IFERROR(F8/G8,0)</f>
        <v/>
      </c>
      <c r="N8" s="14">
        <f>IFERROR(G8/F8,0)</f>
        <v/>
      </c>
      <c r="O8" s="14">
        <f>IFERROR(F8/H8,0)</f>
        <v/>
      </c>
      <c r="P8" s="14">
        <f>I8</f>
        <v/>
      </c>
      <c r="Q8" s="16">
        <f>P8-N8</f>
        <v/>
      </c>
    </row>
    <row r="9" ht="22" customHeight="1">
      <c r="B9" s="6" t="inlineStr">
        <is>
          <t>Your scenario 2</t>
        </is>
      </c>
      <c r="C9" s="10" t="inlineStr"/>
      <c r="D9" s="10" t="inlineStr"/>
      <c r="E9" s="10" t="inlineStr"/>
      <c r="F9" s="11" t="inlineStr"/>
      <c r="G9" s="11" t="inlineStr"/>
      <c r="H9" s="11" t="inlineStr"/>
      <c r="I9" s="12" t="inlineStr"/>
      <c r="J9" s="13">
        <f>IFERROR(C9/B9,0)</f>
        <v/>
      </c>
      <c r="K9" s="14">
        <f>IFERROR(F9/C9,0)</f>
        <v/>
      </c>
      <c r="L9" s="14">
        <f>IFERROR(D9/C9,0)</f>
        <v/>
      </c>
      <c r="M9" s="15">
        <f>IFERROR(F9/G9,0)</f>
        <v/>
      </c>
      <c r="N9" s="14">
        <f>IFERROR(G9/F9,0)</f>
        <v/>
      </c>
      <c r="O9" s="14">
        <f>IFERROR(F9/H9,0)</f>
        <v/>
      </c>
      <c r="P9" s="14">
        <f>I9</f>
        <v/>
      </c>
      <c r="Q9" s="16">
        <f>P9-N9</f>
        <v/>
      </c>
    </row>
    <row r="12" ht="22" customHeight="1">
      <c r="B12" s="3" t="inlineStr">
        <is>
          <t>DECISION PROMPT</t>
        </is>
      </c>
    </row>
    <row r="13" ht="30" customHeight="1">
      <c r="B13" s="4" t="inlineStr">
        <is>
          <t>Question</t>
        </is>
      </c>
      <c r="C13" s="5" t="inlineStr">
        <is>
          <t>Your answer</t>
        </is>
      </c>
    </row>
    <row r="14" ht="22" customHeight="1">
      <c r="B14" s="6" t="inlineStr">
        <is>
          <t>Which funnel metric is the first confirmed leak?</t>
        </is>
      </c>
      <c r="C14" s="17" t="inlineStr"/>
    </row>
    <row r="15" ht="22" customHeight="1">
      <c r="B15" s="6" t="inlineStr">
        <is>
          <t>What is the relevant economic guardrail?</t>
        </is>
      </c>
      <c r="C15" s="17" t="inlineStr"/>
    </row>
    <row r="16" ht="22" customHeight="1">
      <c r="B16" s="6" t="inlineStr">
        <is>
          <t>What is the smallest safe action?</t>
        </is>
      </c>
      <c r="C16" s="17" t="inlineStr"/>
    </row>
    <row r="17" ht="22" customHeight="1">
      <c r="B17" s="6" t="inlineStr">
        <is>
          <t>What will you not change yet, and why?</t>
        </is>
      </c>
      <c r="C17" s="17" t="inlineStr"/>
    </row>
    <row r="19" ht="30" customHeight="1">
      <c r="B19" s="8" t="inlineStr">
        <is>
          <t>Formula reminders: CTR = clicks / impressions; CPC = spend / clicks; CVR = orders / clicks; ACOS = spend / ad sales; ROAS = ad sales / spend; TACoS = spend / total sales; break-even ACOS is commonly bounded by contribution margin.</t>
        </is>
      </c>
    </row>
  </sheetData>
  <mergeCells count="5">
    <mergeCell ref="B3:J3"/>
    <mergeCell ref="B19:J19"/>
    <mergeCell ref="B5:J5"/>
    <mergeCell ref="B12:J12"/>
    <mergeCell ref="B2:J2"/>
  </mergeCells>
  <conditionalFormatting sqref="Q7:Q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3" right="0.3" top="0.5" bottom="0.5" header="0.5" footer="0.5"/>
  <pageSetup fitToHeight="0" fitToWidth="1"/>
  <headerFooter>
    <oddHeader>&amp;C&amp;BPPC Math Lab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65" customWidth="1" min="4" max="4"/>
  </cols>
  <sheetData>
    <row r="2" ht="30" customHeight="1">
      <c r="B2" s="1" t="inlineStr">
        <is>
          <t>Formula Definitions</t>
        </is>
      </c>
    </row>
    <row r="3" ht="28" customHeight="1">
      <c r="B3" s="2" t="inlineStr">
        <is>
          <t>Use these definitions when explaining a metric in a learner worksheet, report, or client update.</t>
        </is>
      </c>
    </row>
    <row r="5" ht="22" customHeight="1">
      <c r="B5" s="3" t="inlineStr">
        <is>
          <t>METRICS</t>
        </is>
      </c>
    </row>
    <row r="6" ht="30" customHeight="1">
      <c r="B6" s="4" t="inlineStr">
        <is>
          <t>Metric</t>
        </is>
      </c>
      <c r="C6" s="9" t="inlineStr">
        <is>
          <t>Formula</t>
        </is>
      </c>
      <c r="D6" s="5" t="inlineStr">
        <is>
          <t>Decision use</t>
        </is>
      </c>
    </row>
    <row r="7" ht="22" customHeight="1">
      <c r="B7" s="6" t="inlineStr">
        <is>
          <t>CTR</t>
        </is>
      </c>
      <c r="C7" s="18" t="inlineStr">
        <is>
          <t>Clicks ÷ impressions</t>
        </is>
      </c>
      <c r="D7" s="7" t="inlineStr">
        <is>
          <t>Attention or relevance signal, not a standalone profitability verdict.</t>
        </is>
      </c>
    </row>
    <row r="8" ht="22" customHeight="1">
      <c r="B8" s="6" t="inlineStr">
        <is>
          <t>CPC</t>
        </is>
      </c>
      <c r="C8" s="18" t="inlineStr">
        <is>
          <t>Spend ÷ clicks</t>
        </is>
      </c>
      <c r="D8" s="7" t="inlineStr">
        <is>
          <t>Cost of traffic; interpret alongside conversion and economics.</t>
        </is>
      </c>
    </row>
    <row r="9" ht="22" customHeight="1">
      <c r="B9" s="6" t="inlineStr">
        <is>
          <t>CVR</t>
        </is>
      </c>
      <c r="C9" s="18" t="inlineStr">
        <is>
          <t>Orders ÷ clicks</t>
        </is>
      </c>
      <c r="D9" s="7" t="inlineStr">
        <is>
          <t>Listing / offer conversion signal.</t>
        </is>
      </c>
    </row>
    <row r="10" ht="22" customHeight="1">
      <c r="B10" s="6" t="inlineStr">
        <is>
          <t>ACOS</t>
        </is>
      </c>
      <c r="C10" s="18" t="inlineStr">
        <is>
          <t>Spend ÷ ad-attributed sales</t>
        </is>
      </c>
      <c r="D10" s="7" t="inlineStr">
        <is>
          <t>Compare to target or break-even guardrail.</t>
        </is>
      </c>
    </row>
    <row r="11" ht="22" customHeight="1">
      <c r="B11" s="6" t="inlineStr">
        <is>
          <t>ROAS</t>
        </is>
      </c>
      <c r="C11" s="18" t="inlineStr">
        <is>
          <t>Ad-attributed sales ÷ spend</t>
        </is>
      </c>
      <c r="D11" s="7" t="inlineStr">
        <is>
          <t>Inverse of ACOS; compare consistently.</t>
        </is>
      </c>
    </row>
    <row r="12" ht="22" customHeight="1">
      <c r="B12" s="6" t="inlineStr">
        <is>
          <t>TACoS</t>
        </is>
      </c>
      <c r="C12" s="18" t="inlineStr">
        <is>
          <t>Spend ÷ total sales</t>
        </is>
      </c>
      <c r="D12" s="7" t="inlineStr">
        <is>
          <t>Shows paid spend relative to the whole sales base.</t>
        </is>
      </c>
    </row>
  </sheetData>
  <mergeCells count="3">
    <mergeCell ref="B2:F2"/>
    <mergeCell ref="B3:F3"/>
    <mergeCell ref="B5:F5"/>
  </mergeCells>
  <pageMargins left="0.3" right="0.3" top="0.5" bottom="0.5" header="0.5" footer="0.5"/>
  <pageSetup fitToHeight="0" fitToWidth="1"/>
  <headerFooter>
    <oddHeader>&amp;C&amp;BPPC Math Lab Definitions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2026-08-21T23:39:30Z</dcterms:created>
  <dcterms:modified xmlns:dcterms="http://purl.org/dc/terms/" xmlns:xsi="http://www.w3.org/2001/XMLSchema-instance" xsi:type="dcterms:W3CDTF">2026-08-21T23:39:30Z</dcterms:modified>
</cp:coreProperties>
</file>